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044095\Desktop\REUNIONES\EXCEL DE ATMS\"/>
    </mc:Choice>
  </mc:AlternateContent>
  <bookViews>
    <workbookView xWindow="0" yWindow="0" windowWidth="28800" windowHeight="13695"/>
  </bookViews>
  <sheets>
    <sheet name="Hoja1" sheetId="1" r:id="rId1"/>
    <sheet name="Hoja2" sheetId="2" r:id="rId2"/>
  </sheets>
  <definedNames>
    <definedName name="_xlnm._FilterDatabase" localSheetId="0" hidden="1">Hoja1!$A$1:$O$271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71" i="1" l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<sst xmlns="http://schemas.openxmlformats.org/spreadsheetml/2006/main" count="2178" uniqueCount="892">
  <si>
    <t>COD. OFIC.</t>
  </si>
  <si>
    <t>OFICINA</t>
  </si>
  <si>
    <t>DIVISIÓN</t>
  </si>
  <si>
    <t>DEPARTAMENTO</t>
  </si>
  <si>
    <t>PROVINCIA</t>
  </si>
  <si>
    <t>DISTRITO</t>
  </si>
  <si>
    <t>LATITUD</t>
  </si>
  <si>
    <t>LONGITUD</t>
  </si>
  <si>
    <t>ESTRUCTURA AS</t>
  </si>
  <si>
    <t>TRX</t>
  </si>
  <si>
    <t>ANDAHUAYLAS</t>
  </si>
  <si>
    <t>CUSCO</t>
  </si>
  <si>
    <t>APURIMAC</t>
  </si>
  <si>
    <t>-13.656519</t>
  </si>
  <si>
    <t>-73.382973</t>
  </si>
  <si>
    <t>3</t>
  </si>
  <si>
    <t>PASEO DE LA CASTELLANA</t>
  </si>
  <si>
    <t>SURCO</t>
  </si>
  <si>
    <t>LIMA</t>
  </si>
  <si>
    <t>SANTIAGO DE SURCO</t>
  </si>
  <si>
    <t>-12.129631</t>
  </si>
  <si>
    <t>-77.001194</t>
  </si>
  <si>
    <t>ÓVALO QUIÑONEZ</t>
  </si>
  <si>
    <t>SAN BORJA</t>
  </si>
  <si>
    <t>-12.098301</t>
  </si>
  <si>
    <t>-77.011779</t>
  </si>
  <si>
    <t>OVALO LARCO TRUJILLO</t>
  </si>
  <si>
    <t>TRUJILLO</t>
  </si>
  <si>
    <t>LA LIBERTAD</t>
  </si>
  <si>
    <t>-8.123955</t>
  </si>
  <si>
    <t>-79.038778</t>
  </si>
  <si>
    <t>MANTAS</t>
  </si>
  <si>
    <t>-13.517730</t>
  </si>
  <si>
    <t>-71.979006</t>
  </si>
  <si>
    <t>1</t>
  </si>
  <si>
    <t>MEGA EXPRESS VILLA EL SALVADOR</t>
  </si>
  <si>
    <t>LIMA SUR</t>
  </si>
  <si>
    <t>VILLA EL SALVADOR</t>
  </si>
  <si>
    <t>-12.230872</t>
  </si>
  <si>
    <t>-76.910303</t>
  </si>
  <si>
    <t>BAGUA GRANDE</t>
  </si>
  <si>
    <t>CHICLAYO PIURA</t>
  </si>
  <si>
    <t>AMAZONAS</t>
  </si>
  <si>
    <t>UTCUBAMBA</t>
  </si>
  <si>
    <t>-5.755656</t>
  </si>
  <si>
    <t>-78.442895</t>
  </si>
  <si>
    <t>REAL PLAZA CUSCO</t>
  </si>
  <si>
    <t>-13.522402</t>
  </si>
  <si>
    <t>-71.950528</t>
  </si>
  <si>
    <t>4</t>
  </si>
  <si>
    <t>REAL PLAZA SALAVERRY</t>
  </si>
  <si>
    <t>LA VICTORIA LINCE</t>
  </si>
  <si>
    <t>JESUS MARIA</t>
  </si>
  <si>
    <t>-12.089262</t>
  </si>
  <si>
    <t>-77.051761</t>
  </si>
  <si>
    <t>CAMANA</t>
  </si>
  <si>
    <t>LIMA CENTRO</t>
  </si>
  <si>
    <t>-12.048172</t>
  </si>
  <si>
    <t>-77.034275</t>
  </si>
  <si>
    <t>CALLAO</t>
  </si>
  <si>
    <t>CALLAO SAN MIGUEL</t>
  </si>
  <si>
    <t>-12.061054</t>
  </si>
  <si>
    <t>-77.144352</t>
  </si>
  <si>
    <t>CAPON</t>
  </si>
  <si>
    <t>-12.051130</t>
  </si>
  <si>
    <t>-77.025334</t>
  </si>
  <si>
    <t>5</t>
  </si>
  <si>
    <t>EL REMANSO</t>
  </si>
  <si>
    <t>LA MOLINA</t>
  </si>
  <si>
    <t>-12.090620</t>
  </si>
  <si>
    <t>-76.951200</t>
  </si>
  <si>
    <t>FAUCETT</t>
  </si>
  <si>
    <t>SAN MIGUEL</t>
  </si>
  <si>
    <t>-12.071478</t>
  </si>
  <si>
    <t>-77.098436</t>
  </si>
  <si>
    <t>BREÑA</t>
  </si>
  <si>
    <t>-12.065401</t>
  </si>
  <si>
    <t>-77.049697</t>
  </si>
  <si>
    <t>-12.068939</t>
  </si>
  <si>
    <t>-76.958201</t>
  </si>
  <si>
    <t>LOS OLIVOS</t>
  </si>
  <si>
    <t>LIMA NORTE</t>
  </si>
  <si>
    <t>-11.991627</t>
  </si>
  <si>
    <t>-77.064401</t>
  </si>
  <si>
    <t>MEXICO</t>
  </si>
  <si>
    <t>LA VICTORIA</t>
  </si>
  <si>
    <t>-12.075213</t>
  </si>
  <si>
    <t>-77.023734</t>
  </si>
  <si>
    <t>INGENIERIA</t>
  </si>
  <si>
    <t>SAN MARTIN DE PORRES</t>
  </si>
  <si>
    <t>-12.027866</t>
  </si>
  <si>
    <t>-77.057501</t>
  </si>
  <si>
    <t>BARRANCO</t>
  </si>
  <si>
    <t>-12.147486</t>
  </si>
  <si>
    <t>-77.021312</t>
  </si>
  <si>
    <t>-12.061954</t>
  </si>
  <si>
    <t>-77.029618</t>
  </si>
  <si>
    <t>COMAS</t>
  </si>
  <si>
    <t>-11.954709</t>
  </si>
  <si>
    <t>-77.052296</t>
  </si>
  <si>
    <t>LARCO - TARATA</t>
  </si>
  <si>
    <t>MIRAFLORES</t>
  </si>
  <si>
    <t>-12.123500</t>
  </si>
  <si>
    <t>-77.029100</t>
  </si>
  <si>
    <t>7</t>
  </si>
  <si>
    <t>BOLIVAR</t>
  </si>
  <si>
    <t>PUEBLO LIBRE</t>
  </si>
  <si>
    <t>-12.071463</t>
  </si>
  <si>
    <t>-77.060701</t>
  </si>
  <si>
    <t>-12.129855</t>
  </si>
  <si>
    <t>-77.029884</t>
  </si>
  <si>
    <t>UNIVERSIDAD CATOLICA</t>
  </si>
  <si>
    <t>-12.069086</t>
  </si>
  <si>
    <t>-77.079292</t>
  </si>
  <si>
    <t>2</t>
  </si>
  <si>
    <t>CLUB REGATAS LIMA</t>
  </si>
  <si>
    <t>CHORRILLOS</t>
  </si>
  <si>
    <t>-12.166820</t>
  </si>
  <si>
    <t>-77.032401</t>
  </si>
  <si>
    <t>MAGDALENA</t>
  </si>
  <si>
    <t>MAGDALENA DEL MAR</t>
  </si>
  <si>
    <t>-12.092157</t>
  </si>
  <si>
    <t>-77.071673</t>
  </si>
  <si>
    <t>SAN ISIDRO</t>
  </si>
  <si>
    <t>-12.094070</t>
  </si>
  <si>
    <t>-77.021384</t>
  </si>
  <si>
    <t>RIVERA NAVARRETE</t>
  </si>
  <si>
    <t>-12.095480</t>
  </si>
  <si>
    <t>-77.026264</t>
  </si>
  <si>
    <t>LA COLMENA</t>
  </si>
  <si>
    <t>-12.049616</t>
  </si>
  <si>
    <t>-77.037485</t>
  </si>
  <si>
    <t>MINKA</t>
  </si>
  <si>
    <t>-12.049405</t>
  </si>
  <si>
    <t>-77.111095</t>
  </si>
  <si>
    <t>LAS FLORES</t>
  </si>
  <si>
    <t>SAN JUAN DE LURIGANCHO</t>
  </si>
  <si>
    <t>-12.007297</t>
  </si>
  <si>
    <t>-77.005467</t>
  </si>
  <si>
    <t>VITARTE</t>
  </si>
  <si>
    <t>ATE</t>
  </si>
  <si>
    <t>-12.025852</t>
  </si>
  <si>
    <t>-76.919962</t>
  </si>
  <si>
    <t>-12.049658</t>
  </si>
  <si>
    <t>-77.037500</t>
  </si>
  <si>
    <t>NICOLAS ARRIOLA 1</t>
  </si>
  <si>
    <t>-12.083809</t>
  </si>
  <si>
    <t>-77.014583</t>
  </si>
  <si>
    <t>VENEZUELA 2</t>
  </si>
  <si>
    <t>-12.055800</t>
  </si>
  <si>
    <t>-77.058700</t>
  </si>
  <si>
    <t>VILLA MARIA DEL TRIUNFO</t>
  </si>
  <si>
    <t>-12.166109</t>
  </si>
  <si>
    <t>-76.952008</t>
  </si>
  <si>
    <t>SAN JUAN DE MIRAFLORES</t>
  </si>
  <si>
    <t>-12.154427</t>
  </si>
  <si>
    <t>-76.971795</t>
  </si>
  <si>
    <t>SALAMANCA</t>
  </si>
  <si>
    <t>-12.076317</t>
  </si>
  <si>
    <t>-76.987281</t>
  </si>
  <si>
    <t>VILLA MARINA</t>
  </si>
  <si>
    <t>-12.184996</t>
  </si>
  <si>
    <t>-77.006885</t>
  </si>
  <si>
    <t>C.C. AURORA</t>
  </si>
  <si>
    <t>-12.121867</t>
  </si>
  <si>
    <t>-77.011695</t>
  </si>
  <si>
    <t>ZARATE</t>
  </si>
  <si>
    <t>-12.027326</t>
  </si>
  <si>
    <t>-77.007318</t>
  </si>
  <si>
    <t>-12.073896</t>
  </si>
  <si>
    <t>-77.048995</t>
  </si>
  <si>
    <t>AV. PERU</t>
  </si>
  <si>
    <t>-12.030808</t>
  </si>
  <si>
    <t>-77.084806</t>
  </si>
  <si>
    <t>LAS BEGONIAS</t>
  </si>
  <si>
    <t>-12.092885</t>
  </si>
  <si>
    <t>-77.024166</t>
  </si>
  <si>
    <t>V. A. BELAUNDE</t>
  </si>
  <si>
    <t>-11.940873</t>
  </si>
  <si>
    <t>-77.050127</t>
  </si>
  <si>
    <t>GAMARRA</t>
  </si>
  <si>
    <t>-12.065129</t>
  </si>
  <si>
    <t>-77.013533</t>
  </si>
  <si>
    <t>6</t>
  </si>
  <si>
    <t>RINCONADA</t>
  </si>
  <si>
    <t>-12.082194</t>
  </si>
  <si>
    <t>-76.928488</t>
  </si>
  <si>
    <t>PURUCHUCO</t>
  </si>
  <si>
    <t>-12.033556</t>
  </si>
  <si>
    <t>-76.928276</t>
  </si>
  <si>
    <t>ARENALES</t>
  </si>
  <si>
    <t>-12.071607</t>
  </si>
  <si>
    <t>-77.037409</t>
  </si>
  <si>
    <t>C.C.SUCRE</t>
  </si>
  <si>
    <t>-12.075525</t>
  </si>
  <si>
    <t>-77.064297</t>
  </si>
  <si>
    <t>C.C. HIGUERETA</t>
  </si>
  <si>
    <t>-12.128585</t>
  </si>
  <si>
    <t>-76.999295</t>
  </si>
  <si>
    <t>MARANGA</t>
  </si>
  <si>
    <t>-12.077988</t>
  </si>
  <si>
    <t>-77.092176</t>
  </si>
  <si>
    <t>-12.089775</t>
  </si>
  <si>
    <t>-77.003104</t>
  </si>
  <si>
    <t>C.C.RISSO</t>
  </si>
  <si>
    <t>LINCE</t>
  </si>
  <si>
    <t>-12.085616</t>
  </si>
  <si>
    <t>-77.034449</t>
  </si>
  <si>
    <t>CANAVAL Y MOREYRA</t>
  </si>
  <si>
    <t>-12.096817</t>
  </si>
  <si>
    <t>-77.023585</t>
  </si>
  <si>
    <t>C.C.LAS GARDENIAS</t>
  </si>
  <si>
    <t>-12.129158</t>
  </si>
  <si>
    <t>-76.984071</t>
  </si>
  <si>
    <t>HUNTER</t>
  </si>
  <si>
    <t>AREQUIPA</t>
  </si>
  <si>
    <t>-16.438831</t>
  </si>
  <si>
    <t>-71.560182</t>
  </si>
  <si>
    <t>C.C. MONTERRICO</t>
  </si>
  <si>
    <t>-12.109193</t>
  </si>
  <si>
    <t>-76.972655</t>
  </si>
  <si>
    <t>AEROPUERTO</t>
  </si>
  <si>
    <t>-12.024060</t>
  </si>
  <si>
    <t>-77.104000</t>
  </si>
  <si>
    <t>APOLO</t>
  </si>
  <si>
    <t>-12.072005</t>
  </si>
  <si>
    <t>-77.011234</t>
  </si>
  <si>
    <t>VENEZUELA 3</t>
  </si>
  <si>
    <t>-12.055186</t>
  </si>
  <si>
    <t>-77.051911</t>
  </si>
  <si>
    <t>BASE NAVAL</t>
  </si>
  <si>
    <t>-12.036821</t>
  </si>
  <si>
    <t>-77.137455</t>
  </si>
  <si>
    <t>COLONIAL</t>
  </si>
  <si>
    <t>-12.050722</t>
  </si>
  <si>
    <t>-77.087144</t>
  </si>
  <si>
    <t>VENTANILLA</t>
  </si>
  <si>
    <t>ANGAMOS ESTE</t>
  </si>
  <si>
    <t>-12.113542</t>
  </si>
  <si>
    <t>-77.028556</t>
  </si>
  <si>
    <t>AV. SUCRE</t>
  </si>
  <si>
    <t>-12.080836</t>
  </si>
  <si>
    <t>-77.066372</t>
  </si>
  <si>
    <t>FIORI</t>
  </si>
  <si>
    <t>-12.010483</t>
  </si>
  <si>
    <t>-77.060256</t>
  </si>
  <si>
    <t>MEGA PLAZA</t>
  </si>
  <si>
    <t>INDEPENDENCIA</t>
  </si>
  <si>
    <t>-11.995074</t>
  </si>
  <si>
    <t>-77.062823</t>
  </si>
  <si>
    <t>REAL PLAZA CENTRO CIVICO</t>
  </si>
  <si>
    <t>-12.056600</t>
  </si>
  <si>
    <t>-77.037200</t>
  </si>
  <si>
    <t>EL TREBOL</t>
  </si>
  <si>
    <t>-12.004951</t>
  </si>
  <si>
    <t>-77.062415</t>
  </si>
  <si>
    <t>SAMUEL DEL ALCAZAR</t>
  </si>
  <si>
    <t>RIMAC</t>
  </si>
  <si>
    <t>-12.025548</t>
  </si>
  <si>
    <t>-77.033142</t>
  </si>
  <si>
    <t>CAMACHO</t>
  </si>
  <si>
    <t>-12.081451</t>
  </si>
  <si>
    <t>-76.967609</t>
  </si>
  <si>
    <t>SANTA CRUZ</t>
  </si>
  <si>
    <t>-12.109424</t>
  </si>
  <si>
    <t>-77.036043</t>
  </si>
  <si>
    <t>OVALO MIRAFLORES</t>
  </si>
  <si>
    <t>-12.118929</t>
  </si>
  <si>
    <t>-77.031665</t>
  </si>
  <si>
    <t>SANTA ANITA</t>
  </si>
  <si>
    <t>-12.053830</t>
  </si>
  <si>
    <t>-76.963204</t>
  </si>
  <si>
    <t>SAN FELIPE</t>
  </si>
  <si>
    <t>-12.087535</t>
  </si>
  <si>
    <t>-77.053645</t>
  </si>
  <si>
    <t>LA RAMBLA</t>
  </si>
  <si>
    <t>-12.089100</t>
  </si>
  <si>
    <t>-77.005634</t>
  </si>
  <si>
    <t>SAN ANTONIO</t>
  </si>
  <si>
    <t>-12.130338</t>
  </si>
  <si>
    <t>-77.019730</t>
  </si>
  <si>
    <t>DOS DE MAYO</t>
  </si>
  <si>
    <t>-12.092384</t>
  </si>
  <si>
    <t>-77.046591</t>
  </si>
  <si>
    <t>C.C.SAN MIGUEL</t>
  </si>
  <si>
    <t>-12.076888</t>
  </si>
  <si>
    <t>-77.082085</t>
  </si>
  <si>
    <t>CHACARILLA</t>
  </si>
  <si>
    <t>-12.110640</t>
  </si>
  <si>
    <t>-76.980408</t>
  </si>
  <si>
    <t>CUARTEL GRAL.DEL EJERCITO</t>
  </si>
  <si>
    <t>-12.099579</t>
  </si>
  <si>
    <t>-76.988095</t>
  </si>
  <si>
    <t>-12.031572</t>
  </si>
  <si>
    <t>-77.069480</t>
  </si>
  <si>
    <t>NICOLAS ARRIOLA 2</t>
  </si>
  <si>
    <t>-12.072951</t>
  </si>
  <si>
    <t>-77.005003</t>
  </si>
  <si>
    <t>-13.519739</t>
  </si>
  <si>
    <t>-71.977398</t>
  </si>
  <si>
    <t>9</t>
  </si>
  <si>
    <t>WANCHAQ</t>
  </si>
  <si>
    <t>-13.522585</t>
  </si>
  <si>
    <t>-71.971974</t>
  </si>
  <si>
    <t>AYACUCHO</t>
  </si>
  <si>
    <t>HUAMANGA</t>
  </si>
  <si>
    <t>-13.159609</t>
  </si>
  <si>
    <t>-74.226145</t>
  </si>
  <si>
    <t>SAN MARTIN - ICA</t>
  </si>
  <si>
    <t>ICA</t>
  </si>
  <si>
    <t>-14.072991</t>
  </si>
  <si>
    <t>-75.727825</t>
  </si>
  <si>
    <t>TINTAYA</t>
  </si>
  <si>
    <t>ESPINAR</t>
  </si>
  <si>
    <t>-14.879105</t>
  </si>
  <si>
    <t>-71.318467</t>
  </si>
  <si>
    <t>HUAYRUROPATA</t>
  </si>
  <si>
    <t>-13.525007</t>
  </si>
  <si>
    <t>-71.964114</t>
  </si>
  <si>
    <t>HUANUCO</t>
  </si>
  <si>
    <t>SAN MARTÍN</t>
  </si>
  <si>
    <t>-9.920100</t>
  </si>
  <si>
    <t>-76.240844</t>
  </si>
  <si>
    <t>CAÑETE</t>
  </si>
  <si>
    <t>SAN VICENTE DE CAÑETE</t>
  </si>
  <si>
    <t>-13.077305</t>
  </si>
  <si>
    <t>-76.387412</t>
  </si>
  <si>
    <t>CHINCHA</t>
  </si>
  <si>
    <t>CHINCHA ALTA</t>
  </si>
  <si>
    <t>-13.417891</t>
  </si>
  <si>
    <t>-76.133790</t>
  </si>
  <si>
    <t>QUILLABAMBA</t>
  </si>
  <si>
    <t>LA CONVENCION</t>
  </si>
  <si>
    <t>SANTA ANA</t>
  </si>
  <si>
    <t>-12.863323</t>
  </si>
  <si>
    <t>-72.692877</t>
  </si>
  <si>
    <t>-16.398143</t>
  </si>
  <si>
    <t>-71.535987</t>
  </si>
  <si>
    <t>SAN CAMILO</t>
  </si>
  <si>
    <t>-16.402639</t>
  </si>
  <si>
    <t>-71.534111</t>
  </si>
  <si>
    <t>MIRAFLORES - AREQUIPA</t>
  </si>
  <si>
    <t>-16.402986</t>
  </si>
  <si>
    <t>-71.517824</t>
  </si>
  <si>
    <t>CAYMA</t>
  </si>
  <si>
    <t>YANAHUARA</t>
  </si>
  <si>
    <t>-16.389914</t>
  </si>
  <si>
    <t>-71.546194</t>
  </si>
  <si>
    <t>MAGISTERIO</t>
  </si>
  <si>
    <t>-13.526496</t>
  </si>
  <si>
    <t>-71.948160</t>
  </si>
  <si>
    <t>CAMANA - AREQUIPA</t>
  </si>
  <si>
    <t>-16.625464</t>
  </si>
  <si>
    <t>-72.711300</t>
  </si>
  <si>
    <t>PARQUE INDUSTRIAL</t>
  </si>
  <si>
    <t>-16.414400</t>
  </si>
  <si>
    <t>-71.542400</t>
  </si>
  <si>
    <t>JULIACA</t>
  </si>
  <si>
    <t>PUNO</t>
  </si>
  <si>
    <t>SAN ROMAN</t>
  </si>
  <si>
    <t>-15.493608</t>
  </si>
  <si>
    <t>-70.133098</t>
  </si>
  <si>
    <t>-15.839126</t>
  </si>
  <si>
    <t>-70.028052</t>
  </si>
  <si>
    <t>ILO</t>
  </si>
  <si>
    <t>MOQUEGUA</t>
  </si>
  <si>
    <t>-17.644196</t>
  </si>
  <si>
    <t>-71.344702</t>
  </si>
  <si>
    <t>TACNA</t>
  </si>
  <si>
    <t>-18.012093</t>
  </si>
  <si>
    <t>-70.248467</t>
  </si>
  <si>
    <t>7 D junio</t>
  </si>
  <si>
    <t>UCAYALI</t>
  </si>
  <si>
    <t>CORONEL PORTILLO</t>
  </si>
  <si>
    <t>CALLERIA</t>
  </si>
  <si>
    <t>-8.382661</t>
  </si>
  <si>
    <t>-74.537891</t>
  </si>
  <si>
    <t>PQUE. IND. VILLA EL SALVADOR</t>
  </si>
  <si>
    <t>-12.204174</t>
  </si>
  <si>
    <t>-76.931993</t>
  </si>
  <si>
    <t>HUANCAYO</t>
  </si>
  <si>
    <t>JUNIN</t>
  </si>
  <si>
    <t>-12.069690</t>
  </si>
  <si>
    <t>-75.209739</t>
  </si>
  <si>
    <t>LA OROYA</t>
  </si>
  <si>
    <t>YAULI</t>
  </si>
  <si>
    <t>-11.522110</t>
  </si>
  <si>
    <t>-75.907153</t>
  </si>
  <si>
    <t>EL TAMBO</t>
  </si>
  <si>
    <t>-12.053310</t>
  </si>
  <si>
    <t>-75.219624</t>
  </si>
  <si>
    <t>LA MERCED</t>
  </si>
  <si>
    <t>CHANCHAMAYO</t>
  </si>
  <si>
    <t>-11.055580</t>
  </si>
  <si>
    <t>-75.328077</t>
  </si>
  <si>
    <t>-14.064400</t>
  </si>
  <si>
    <t>-75.728800</t>
  </si>
  <si>
    <t>PISCO</t>
  </si>
  <si>
    <t>-13.710568</t>
  </si>
  <si>
    <t>-76.202720</t>
  </si>
  <si>
    <t>DAMERO GAMARRA</t>
  </si>
  <si>
    <t>-12.061562</t>
  </si>
  <si>
    <t>-77.015724</t>
  </si>
  <si>
    <t>HIPOLITO UNANUE</t>
  </si>
  <si>
    <t>-12.065302</t>
  </si>
  <si>
    <t>-77.013206</t>
  </si>
  <si>
    <t>PASEO MEGA PIURA</t>
  </si>
  <si>
    <t>PIURA</t>
  </si>
  <si>
    <t>-5.193686</t>
  </si>
  <si>
    <t>-80.619872</t>
  </si>
  <si>
    <t>TMR PASEO MEGA PIURA</t>
  </si>
  <si>
    <t>HUSARES DE JUNIN</t>
  </si>
  <si>
    <t>-8.125927</t>
  </si>
  <si>
    <t>-79.035597</t>
  </si>
  <si>
    <t>CHEPEN</t>
  </si>
  <si>
    <t>-7.227508</t>
  </si>
  <si>
    <t>-79.429227</t>
  </si>
  <si>
    <t>C.C. EL QUINDE</t>
  </si>
  <si>
    <t>CAJAMARCA</t>
  </si>
  <si>
    <t>-7.149020</t>
  </si>
  <si>
    <t>-78.509700</t>
  </si>
  <si>
    <t>-8.110019</t>
  </si>
  <si>
    <t>-79.026153</t>
  </si>
  <si>
    <t>PRIMAVERA</t>
  </si>
  <si>
    <t>-8.538609</t>
  </si>
  <si>
    <t>-78.679523</t>
  </si>
  <si>
    <t>MERCADO MAYORISTA TRUJILLO</t>
  </si>
  <si>
    <t>-8.111130</t>
  </si>
  <si>
    <t>-79.018143</t>
  </si>
  <si>
    <t>MALL AVENTURA PLAZA CALLAO</t>
  </si>
  <si>
    <t>-12.055900</t>
  </si>
  <si>
    <t>-77.102200</t>
  </si>
  <si>
    <t>C.C. REAL PLAZA PRO</t>
  </si>
  <si>
    <t>-11.940587</t>
  </si>
  <si>
    <t>-77.070894</t>
  </si>
  <si>
    <t>LARCO - TRUJILLO</t>
  </si>
  <si>
    <t>-8.117155</t>
  </si>
  <si>
    <t>-79.032187</t>
  </si>
  <si>
    <t>EL MURO</t>
  </si>
  <si>
    <t>-11.948150</t>
  </si>
  <si>
    <t>-76.984944</t>
  </si>
  <si>
    <t>GRAN CHIMU</t>
  </si>
  <si>
    <t>-12.025272</t>
  </si>
  <si>
    <t>-77.000497</t>
  </si>
  <si>
    <t>LARAPA - CUZCO</t>
  </si>
  <si>
    <t>SAN JERONIMO</t>
  </si>
  <si>
    <t>-13.536500</t>
  </si>
  <si>
    <t>-71.906500</t>
  </si>
  <si>
    <t>C.C. CANTA CALLAO</t>
  </si>
  <si>
    <t>-11.998083</t>
  </si>
  <si>
    <t>-77.112805</t>
  </si>
  <si>
    <t>HUARAZ</t>
  </si>
  <si>
    <t>ANCASH</t>
  </si>
  <si>
    <t>-9.529659</t>
  </si>
  <si>
    <t>-77.528284</t>
  </si>
  <si>
    <t>MALL DEL SUR</t>
  </si>
  <si>
    <t>-12.147106</t>
  </si>
  <si>
    <t>-76.980969</t>
  </si>
  <si>
    <t>LA PLANICIE</t>
  </si>
  <si>
    <t>-12.077904</t>
  </si>
  <si>
    <t>-76.918509</t>
  </si>
  <si>
    <t>PUERTO MALDONADO</t>
  </si>
  <si>
    <t>MADRE DE DIOS</t>
  </si>
  <si>
    <t>TAMBOPATA</t>
  </si>
  <si>
    <t>-12.594635</t>
  </si>
  <si>
    <t>-69.175842</t>
  </si>
  <si>
    <t>CHANCAY</t>
  </si>
  <si>
    <t>HUARAL</t>
  </si>
  <si>
    <t>-11.561532</t>
  </si>
  <si>
    <t>-77.268430</t>
  </si>
  <si>
    <t>TUMBES</t>
  </si>
  <si>
    <t>-3.569563</t>
  </si>
  <si>
    <t>-80.459423</t>
  </si>
  <si>
    <t>REAL PLAZA HUANCAYO</t>
  </si>
  <si>
    <t>-12.067700</t>
  </si>
  <si>
    <t>-75.205100</t>
  </si>
  <si>
    <t>-5.197278</t>
  </si>
  <si>
    <t>-80.627130</t>
  </si>
  <si>
    <t>MDO. MODELO PIURA</t>
  </si>
  <si>
    <t>-5.190295</t>
  </si>
  <si>
    <t>-80.632452</t>
  </si>
  <si>
    <t>EL AGUSTINO</t>
  </si>
  <si>
    <t>-12.048113</t>
  </si>
  <si>
    <t>-77.000409</t>
  </si>
  <si>
    <t>TALARA</t>
  </si>
  <si>
    <t>PARIÑAS</t>
  </si>
  <si>
    <t>-4.579096</t>
  </si>
  <si>
    <t>-81.273323</t>
  </si>
  <si>
    <t>PAITA</t>
  </si>
  <si>
    <t>-5.085640</t>
  </si>
  <si>
    <t>-81.112500</t>
  </si>
  <si>
    <t>NUEVO CHIMBOTE</t>
  </si>
  <si>
    <t>SANTA</t>
  </si>
  <si>
    <t>-9.123505</t>
  </si>
  <si>
    <t>-78.530751</t>
  </si>
  <si>
    <t>-11.495698</t>
  </si>
  <si>
    <t>-77.206799</t>
  </si>
  <si>
    <t>SULLANA</t>
  </si>
  <si>
    <t>-4.891850</t>
  </si>
  <si>
    <t>-80.688722</t>
  </si>
  <si>
    <t>HUACHO</t>
  </si>
  <si>
    <t>HUAURA</t>
  </si>
  <si>
    <t>-11.107438</t>
  </si>
  <si>
    <t>-77.608041</t>
  </si>
  <si>
    <t>BARRANCA</t>
  </si>
  <si>
    <t>-10.752408</t>
  </si>
  <si>
    <t>-77.759767</t>
  </si>
  <si>
    <t>-7.155606</t>
  </si>
  <si>
    <t>-78.519946</t>
  </si>
  <si>
    <t>JAEN</t>
  </si>
  <si>
    <t>-5.709258</t>
  </si>
  <si>
    <t>-78.807934</t>
  </si>
  <si>
    <t>PLAZA LIMA NORTE</t>
  </si>
  <si>
    <t>-12.007598</t>
  </si>
  <si>
    <t>-77.060521</t>
  </si>
  <si>
    <t>CHICLAYO</t>
  </si>
  <si>
    <t>LAMBAYEQUE</t>
  </si>
  <si>
    <t>-6.772497</t>
  </si>
  <si>
    <t>-79.838652</t>
  </si>
  <si>
    <t>LOS ALAMOS</t>
  </si>
  <si>
    <t>-12.105351</t>
  </si>
  <si>
    <t>-76.965433</t>
  </si>
  <si>
    <t>MDO. MODELO CHICLAYO</t>
  </si>
  <si>
    <t>-6.766746</t>
  </si>
  <si>
    <t>-79.839056</t>
  </si>
  <si>
    <t>MOSHOQUEQUE</t>
  </si>
  <si>
    <t>JOSE LEONARDO ORTIZ</t>
  </si>
  <si>
    <t>-6.758836</t>
  </si>
  <si>
    <t>-79.842645</t>
  </si>
  <si>
    <t>PACASMAYO</t>
  </si>
  <si>
    <t>-7.399439</t>
  </si>
  <si>
    <t>-79.571180</t>
  </si>
  <si>
    <t>CHIMBOTE</t>
  </si>
  <si>
    <t>-9.077343</t>
  </si>
  <si>
    <t>-78.591878</t>
  </si>
  <si>
    <t>MERCADO MODELO CHIMBOTE</t>
  </si>
  <si>
    <t>-9.073647</t>
  </si>
  <si>
    <t>-78.591526</t>
  </si>
  <si>
    <t>BELLAVISTA SAN MARTIN</t>
  </si>
  <si>
    <t>SAN MARTIN</t>
  </si>
  <si>
    <t>BELLAVISTA</t>
  </si>
  <si>
    <t>-7.066940</t>
  </si>
  <si>
    <t>-76.584798</t>
  </si>
  <si>
    <t>IQUITOS</t>
  </si>
  <si>
    <t>LORETO</t>
  </si>
  <si>
    <t>MAYNAS</t>
  </si>
  <si>
    <t>-3.751243</t>
  </si>
  <si>
    <t>-73.244657</t>
  </si>
  <si>
    <t>10</t>
  </si>
  <si>
    <t>BELEN</t>
  </si>
  <si>
    <t>-3.759239</t>
  </si>
  <si>
    <t>-73.249259</t>
  </si>
  <si>
    <t>PUCALLPA</t>
  </si>
  <si>
    <t>-8.385829</t>
  </si>
  <si>
    <t>-74.531114</t>
  </si>
  <si>
    <t>TARAPOTO</t>
  </si>
  <si>
    <t>-6.487359</t>
  </si>
  <si>
    <t>-76.360264</t>
  </si>
  <si>
    <t>PRO</t>
  </si>
  <si>
    <t>-11.938703</t>
  </si>
  <si>
    <t>-77.072292</t>
  </si>
  <si>
    <t>MOYOBAMBA</t>
  </si>
  <si>
    <t>-6.031777</t>
  </si>
  <si>
    <t>-76.974427</t>
  </si>
  <si>
    <t>BACKUS</t>
  </si>
  <si>
    <t>-12.045723</t>
  </si>
  <si>
    <t>-76.941864</t>
  </si>
  <si>
    <t>PUENTE PIEDRA</t>
  </si>
  <si>
    <t>-11.865518</t>
  </si>
  <si>
    <t>-77.074285</t>
  </si>
  <si>
    <t>PLAZA LIMA SUR</t>
  </si>
  <si>
    <t>-12.172986</t>
  </si>
  <si>
    <t>-77.013214</t>
  </si>
  <si>
    <t>TINGO MARIA</t>
  </si>
  <si>
    <t>LEONCIO PRADO</t>
  </si>
  <si>
    <t>RUPA-RUPA</t>
  </si>
  <si>
    <t>-9.296961</t>
  </si>
  <si>
    <t>-76.001871</t>
  </si>
  <si>
    <t>IZAGUIRRE</t>
  </si>
  <si>
    <t>-11.990882</t>
  </si>
  <si>
    <t>-77.071294</t>
  </si>
  <si>
    <t>ESSALUD</t>
  </si>
  <si>
    <t>-12.078151</t>
  </si>
  <si>
    <t>-77.036660</t>
  </si>
  <si>
    <t>CERRO DE PASCO</t>
  </si>
  <si>
    <t>PASCO</t>
  </si>
  <si>
    <t>YANACOCHA</t>
  </si>
  <si>
    <t>-10.666680</t>
  </si>
  <si>
    <t>-76.253233</t>
  </si>
  <si>
    <t>CANTO GRANDE</t>
  </si>
  <si>
    <t>-11.990700</t>
  </si>
  <si>
    <t>-77.015400</t>
  </si>
  <si>
    <t>-12.211855</t>
  </si>
  <si>
    <t>-76.937467</t>
  </si>
  <si>
    <t>YURIMAGUAS</t>
  </si>
  <si>
    <t>ALTO AMAZONAS</t>
  </si>
  <si>
    <t>-5.896070</t>
  </si>
  <si>
    <t>-76.104400</t>
  </si>
  <si>
    <t>JUANJUI</t>
  </si>
  <si>
    <t>MARISCAL CÁCERES</t>
  </si>
  <si>
    <t>-7.180752</t>
  </si>
  <si>
    <t>-76.726701</t>
  </si>
  <si>
    <t>MDO PROD. SANTA ANITA</t>
  </si>
  <si>
    <t>-12.042412</t>
  </si>
  <si>
    <t>-76.946859</t>
  </si>
  <si>
    <t>CAMINO REAL</t>
  </si>
  <si>
    <t>-12.097280</t>
  </si>
  <si>
    <t>-77.036068</t>
  </si>
  <si>
    <t>EL PINO</t>
  </si>
  <si>
    <t>SAN LUIS</t>
  </si>
  <si>
    <t>-12.072346</t>
  </si>
  <si>
    <t>-76.992742</t>
  </si>
  <si>
    <t>-11.871781</t>
  </si>
  <si>
    <t>-77.127708</t>
  </si>
  <si>
    <t>28 D julio</t>
  </si>
  <si>
    <t>-12.064116</t>
  </si>
  <si>
    <t>-77.037948</t>
  </si>
  <si>
    <t>CANADA-LA ROSA TORO</t>
  </si>
  <si>
    <t>-12.080856</t>
  </si>
  <si>
    <t>-76.993747</t>
  </si>
  <si>
    <t>MULTIPLAZA</t>
  </si>
  <si>
    <t>-11.989949</t>
  </si>
  <si>
    <t>-77.062386</t>
  </si>
  <si>
    <t>BIENESTAR DE LA MARINA</t>
  </si>
  <si>
    <t>-12.062193</t>
  </si>
  <si>
    <t>-77.091734</t>
  </si>
  <si>
    <t>CHOSICA</t>
  </si>
  <si>
    <t>-11.935300</t>
  </si>
  <si>
    <t>-76.693800</t>
  </si>
  <si>
    <t>PARURO</t>
  </si>
  <si>
    <t>-12.052236</t>
  </si>
  <si>
    <t>-77.024946</t>
  </si>
  <si>
    <t>REAL PLAZA CHICLAYO</t>
  </si>
  <si>
    <t>-6.776600</t>
  </si>
  <si>
    <t>-79.833456</t>
  </si>
  <si>
    <t>TMR CAMINO REAL</t>
  </si>
  <si>
    <t>DOMINGO CUETO</t>
  </si>
  <si>
    <t>-12.079992</t>
  </si>
  <si>
    <t>-77.036396</t>
  </si>
  <si>
    <t>PARDO</t>
  </si>
  <si>
    <t>-12.119273</t>
  </si>
  <si>
    <t>-77.036700</t>
  </si>
  <si>
    <t>AVIACIÓN</t>
  </si>
  <si>
    <t>-12.096446</t>
  </si>
  <si>
    <t>-77.002143</t>
  </si>
  <si>
    <t>-12.087659</t>
  </si>
  <si>
    <t>-76.996331</t>
  </si>
  <si>
    <t>AV. CENTRAL</t>
  </si>
  <si>
    <t>-12.091654</t>
  </si>
  <si>
    <t>-77.033724</t>
  </si>
  <si>
    <t>JOCKEY PLAZA</t>
  </si>
  <si>
    <t>-12.084679</t>
  </si>
  <si>
    <t>-76.977058</t>
  </si>
  <si>
    <t>ABANCAY-CONGRESO</t>
  </si>
  <si>
    <t>-12.047823</t>
  </si>
  <si>
    <t>-77.026899</t>
  </si>
  <si>
    <t>ABANCAY</t>
  </si>
  <si>
    <t>-13.635817</t>
  </si>
  <si>
    <t>-72.876522</t>
  </si>
  <si>
    <t>BENAVIDES</t>
  </si>
  <si>
    <t>-12.126886</t>
  </si>
  <si>
    <t>-77.013149</t>
  </si>
  <si>
    <t>COMANDANTE ESPINAR</t>
  </si>
  <si>
    <t>-12.113327</t>
  </si>
  <si>
    <t>-77.037060</t>
  </si>
  <si>
    <t>LIMATAMBO</t>
  </si>
  <si>
    <t>-12.106549</t>
  </si>
  <si>
    <t>-77.001339</t>
  </si>
  <si>
    <t>LOS ROBLES</t>
  </si>
  <si>
    <t>-12.091861</t>
  </si>
  <si>
    <t>-77.042898</t>
  </si>
  <si>
    <t>FAUCETT 2</t>
  </si>
  <si>
    <t>-12.063247</t>
  </si>
  <si>
    <t>-77.096924</t>
  </si>
  <si>
    <t>NESTLE-DONOFRIO</t>
  </si>
  <si>
    <t>-12.057699</t>
  </si>
  <si>
    <t>-77.068150</t>
  </si>
  <si>
    <t>CAVENECIA</t>
  </si>
  <si>
    <t>-12.107677</t>
  </si>
  <si>
    <t>-77.039606</t>
  </si>
  <si>
    <t>COVIDA</t>
  </si>
  <si>
    <t>-11.994944</t>
  </si>
  <si>
    <t>-77.077666</t>
  </si>
  <si>
    <t>MALL AVENTURA SAN JUAN DE LURINGANCHO</t>
  </si>
  <si>
    <t>-12.016851</t>
  </si>
  <si>
    <t>-76.998962</t>
  </si>
  <si>
    <t>SANTA MONICA</t>
  </si>
  <si>
    <t>-12.102890</t>
  </si>
  <si>
    <t>-77.052757</t>
  </si>
  <si>
    <t>BOLOGNESI</t>
  </si>
  <si>
    <t>-18.003340</t>
  </si>
  <si>
    <t>-70.242460</t>
  </si>
  <si>
    <t>-6.705010</t>
  </si>
  <si>
    <t>-79.903094</t>
  </si>
  <si>
    <t>GUARDIA CHALACA</t>
  </si>
  <si>
    <t>LA PERLA</t>
  </si>
  <si>
    <t>-12.067545</t>
  </si>
  <si>
    <t>-77.115327</t>
  </si>
  <si>
    <t>LA MARINA</t>
  </si>
  <si>
    <t>-12.078321</t>
  </si>
  <si>
    <t>-77.087514</t>
  </si>
  <si>
    <t>HUAYCAN</t>
  </si>
  <si>
    <t>-12.009708</t>
  </si>
  <si>
    <t>-76.822381</t>
  </si>
  <si>
    <t>ARAMBURU</t>
  </si>
  <si>
    <t>-12.103588</t>
  </si>
  <si>
    <t>-77.030924</t>
  </si>
  <si>
    <t>ANGAMOS OPEN PLAZA</t>
  </si>
  <si>
    <t>SURQUILLO</t>
  </si>
  <si>
    <t>-12.112389</t>
  </si>
  <si>
    <t>-77.011895</t>
  </si>
  <si>
    <t>STRIP CENTER PROCERES</t>
  </si>
  <si>
    <t>-12.158630</t>
  </si>
  <si>
    <t>-76.989329</t>
  </si>
  <si>
    <t>OPEN PLAZA PIURA</t>
  </si>
  <si>
    <t>-5.182709</t>
  </si>
  <si>
    <t>-80.622003</t>
  </si>
  <si>
    <t>PLAZA BUTTERS</t>
  </si>
  <si>
    <t>-12.143453</t>
  </si>
  <si>
    <t>-77.015293</t>
  </si>
  <si>
    <t>METRO PLAZA CASTILLA</t>
  </si>
  <si>
    <t>-12.042608</t>
  </si>
  <si>
    <t>-77.042749</t>
  </si>
  <si>
    <t>REAL PLAZA JULIACA</t>
  </si>
  <si>
    <t>-15.494425</t>
  </si>
  <si>
    <t>-70.131213</t>
  </si>
  <si>
    <t>PICHANAQUI</t>
  </si>
  <si>
    <t>-10.925309</t>
  </si>
  <si>
    <t>-74.873550</t>
  </si>
  <si>
    <t>SAN RAFAEL</t>
  </si>
  <si>
    <t>-12.048263</t>
  </si>
  <si>
    <t>-77.059061</t>
  </si>
  <si>
    <t>SEPARADORA INDUSTRIAL</t>
  </si>
  <si>
    <t>-12.064000</t>
  </si>
  <si>
    <t>-76.960408</t>
  </si>
  <si>
    <t>SAN BORJA SUR</t>
  </si>
  <si>
    <t>-12.099880</t>
  </si>
  <si>
    <t>-76.994535</t>
  </si>
  <si>
    <t>LAS TIENDAS</t>
  </si>
  <si>
    <t>-12.104249</t>
  </si>
  <si>
    <t>-77.021100</t>
  </si>
  <si>
    <t>MARISCAL NIETO</t>
  </si>
  <si>
    <t>-17.187557</t>
  </si>
  <si>
    <t>-70.936678</t>
  </si>
  <si>
    <t>SEDAPAL</t>
  </si>
  <si>
    <t>-12.030863</t>
  </si>
  <si>
    <t>-76.983096</t>
  </si>
  <si>
    <t>SATIPO</t>
  </si>
  <si>
    <t>-11.255346</t>
  </si>
  <si>
    <t>-74.636548</t>
  </si>
  <si>
    <t>TARMA</t>
  </si>
  <si>
    <t>-11.420363</t>
  </si>
  <si>
    <t>-75.688092</t>
  </si>
  <si>
    <t>CHOTA</t>
  </si>
  <si>
    <t>-6.561541</t>
  </si>
  <si>
    <t>-78.650619</t>
  </si>
  <si>
    <t>SEBASTIÁN BARRANCA</t>
  </si>
  <si>
    <t>-12.068565</t>
  </si>
  <si>
    <t>-77.030004</t>
  </si>
  <si>
    <t>REAL PLAZA PIURA</t>
  </si>
  <si>
    <t>-5.186812</t>
  </si>
  <si>
    <t>-80.642261</t>
  </si>
  <si>
    <t>MALL AVENTURA PLAZA SANTA ANITA</t>
  </si>
  <si>
    <t>-12.056770</t>
  </si>
  <si>
    <t>-76.970675</t>
  </si>
  <si>
    <t>CAMINOS DEL INCA</t>
  </si>
  <si>
    <t>-12.113900</t>
  </si>
  <si>
    <t>-76.992200</t>
  </si>
  <si>
    <t>RICARDO PALMA</t>
  </si>
  <si>
    <t>-12.119299</t>
  </si>
  <si>
    <t>-77.026774</t>
  </si>
  <si>
    <t>JOSE LUIS BUSTAMANTE Y RIVERO</t>
  </si>
  <si>
    <t>-16.425171</t>
  </si>
  <si>
    <t>-71.532446</t>
  </si>
  <si>
    <t>AV. DEL EJERCITO</t>
  </si>
  <si>
    <t>-12.114064</t>
  </si>
  <si>
    <t>-77.047787</t>
  </si>
  <si>
    <t>C.C. REAL PLAZA SANTA CLARA</t>
  </si>
  <si>
    <t>-12.014768</t>
  </si>
  <si>
    <t>-76.885189</t>
  </si>
  <si>
    <t>C.C. EL TRIGAL</t>
  </si>
  <si>
    <t>-12.126923</t>
  </si>
  <si>
    <t>-76.987419</t>
  </si>
  <si>
    <t>SAN FELIPE COMAS</t>
  </si>
  <si>
    <t>-11.901017</t>
  </si>
  <si>
    <t>-77.040363</t>
  </si>
  <si>
    <t>UNIVERSIDAD SAN PABLO</t>
  </si>
  <si>
    <t>-16.389531</t>
  </si>
  <si>
    <t>-71.535344</t>
  </si>
  <si>
    <t>EMBAJADA USA</t>
  </si>
  <si>
    <t>-12.099208</t>
  </si>
  <si>
    <t>-76.970060</t>
  </si>
  <si>
    <t>USAID</t>
  </si>
  <si>
    <t>EL PEDREGAL</t>
  </si>
  <si>
    <t>CAYLLOMA</t>
  </si>
  <si>
    <t>MAJES</t>
  </si>
  <si>
    <t>-16.361969</t>
  </si>
  <si>
    <t>-72.189865</t>
  </si>
  <si>
    <t>MALL AVENTURA PLAZA AQP</t>
  </si>
  <si>
    <t>PAUCARPATA</t>
  </si>
  <si>
    <t>-16.416800</t>
  </si>
  <si>
    <t>-71.514600</t>
  </si>
  <si>
    <t>CERRO COLORADO</t>
  </si>
  <si>
    <t>-16.375563</t>
  </si>
  <si>
    <t>-71.557441</t>
  </si>
  <si>
    <t>MONTEGRANDE</t>
  </si>
  <si>
    <t>-12.111888</t>
  </si>
  <si>
    <t>-76.990553</t>
  </si>
  <si>
    <t>LA ROTONDA</t>
  </si>
  <si>
    <t>-12.073921</t>
  </si>
  <si>
    <t>-76.956051</t>
  </si>
  <si>
    <t>METRO SANTA ELENA</t>
  </si>
  <si>
    <t>-6.772153</t>
  </si>
  <si>
    <t>-79.863084</t>
  </si>
  <si>
    <t>BARRIO COMERCIO</t>
  </si>
  <si>
    <t>-6.488574</t>
  </si>
  <si>
    <t>-76.364376</t>
  </si>
  <si>
    <t>PLAZA DE ARMAS HUANUCO</t>
  </si>
  <si>
    <t>-9.929199</t>
  </si>
  <si>
    <t>-76.240259</t>
  </si>
  <si>
    <t>EL SOL</t>
  </si>
  <si>
    <t>-11.987174</t>
  </si>
  <si>
    <t>-77.007629</t>
  </si>
  <si>
    <t>SENATI</t>
  </si>
  <si>
    <t>-11.999068</t>
  </si>
  <si>
    <t>-77.062200</t>
  </si>
  <si>
    <t>CARABAYLLO</t>
  </si>
  <si>
    <t>-11.873997</t>
  </si>
  <si>
    <t>-77.015474</t>
  </si>
  <si>
    <t>OVALO PAPAL</t>
  </si>
  <si>
    <t>-8.120</t>
  </si>
  <si>
    <t>-79.041</t>
  </si>
  <si>
    <t>MALL PLAZA COMAS</t>
  </si>
  <si>
    <t>-11.937181</t>
  </si>
  <si>
    <t>-77.065419</t>
  </si>
  <si>
    <t>CEDROS DE VILLA</t>
  </si>
  <si>
    <t>-12.196748</t>
  </si>
  <si>
    <t>-77.011238</t>
  </si>
  <si>
    <t>VALLE SHARON</t>
  </si>
  <si>
    <t>-12.169969</t>
  </si>
  <si>
    <t>-76.968433</t>
  </si>
  <si>
    <t>MALA</t>
  </si>
  <si>
    <t>-12.655630</t>
  </si>
  <si>
    <t>-76.634990</t>
  </si>
  <si>
    <t>SALAVERRY</t>
  </si>
  <si>
    <t>-12.099138</t>
  </si>
  <si>
    <t>-77.056603</t>
  </si>
  <si>
    <t>C.C. EL POLO PLAZA</t>
  </si>
  <si>
    <t>-12.100659</t>
  </si>
  <si>
    <t>-76.971744</t>
  </si>
  <si>
    <t>RIOJA</t>
  </si>
  <si>
    <t>-6.063184</t>
  </si>
  <si>
    <t>-77.168143</t>
  </si>
  <si>
    <t>MALL PLAZA TRUJILLO</t>
  </si>
  <si>
    <t>-8.101634</t>
  </si>
  <si>
    <t>-79.044699</t>
  </si>
  <si>
    <t>-16.396996</t>
  </si>
  <si>
    <t>-71.547210</t>
  </si>
  <si>
    <t>REAL PLAZA TRUJILLO</t>
  </si>
  <si>
    <t>-8.131490</t>
  </si>
  <si>
    <t>-79.032300</t>
  </si>
  <si>
    <t>LIMA CARGO CITY</t>
  </si>
  <si>
    <t>-12.028300</t>
  </si>
  <si>
    <t>-77.103400</t>
  </si>
  <si>
    <t>LURIN</t>
  </si>
  <si>
    <t>-12.277857</t>
  </si>
  <si>
    <t>-76.869306</t>
  </si>
  <si>
    <t>JAVIER PRADO OESTE</t>
  </si>
  <si>
    <t>-12.092318</t>
  </si>
  <si>
    <t>-77.063179</t>
  </si>
  <si>
    <t>PLAZA SAN JOSÉ</t>
  </si>
  <si>
    <t>-12.075060</t>
  </si>
  <si>
    <t>-77.047895</t>
  </si>
  <si>
    <t>OVALO NARANJAL</t>
  </si>
  <si>
    <t>-11.977258</t>
  </si>
  <si>
    <t>-77.081771</t>
  </si>
  <si>
    <t>LAS BAMBAS</t>
  </si>
  <si>
    <t>COTABAMBAS</t>
  </si>
  <si>
    <t>CHALHUAHUACHO</t>
  </si>
  <si>
    <t>-14.118690</t>
  </si>
  <si>
    <t>-72.246497</t>
  </si>
  <si>
    <t>OPEN PLAZA PUCALLPA</t>
  </si>
  <si>
    <t>YARINACOCHA</t>
  </si>
  <si>
    <t>-8.388183</t>
  </si>
  <si>
    <t>-74.566491</t>
  </si>
  <si>
    <t>ESTRUCTURA EBP</t>
  </si>
  <si>
    <t>ESTRUCTURA AD</t>
  </si>
  <si>
    <t>CLIENTES UNICOS</t>
  </si>
  <si>
    <t>TOTAL_TICKETS</t>
  </si>
  <si>
    <t>RED LINES</t>
  </si>
  <si>
    <t>CLIENTES_UNICOS</t>
  </si>
  <si>
    <t>TICKETS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</si>
</sst>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1" applyNumberFormat="1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1"/>
  <sheetViews>
    <sheetView tabSelected="1" topLeftCell="A236" workbookViewId="0">
      <selection activeCell="A2" sqref="A2:A271"/>
    </sheetView>
  </sheetViews>
  <sheetFormatPr baseColWidth="10" defaultRowHeight="15" x14ac:dyDescent="0.25"/>
  <cols>
    <col min="1" max="1" width="18.28515625" customWidth="1"/>
    <col min="2" max="2" width="17.28515625" customWidth="1"/>
    <col min="3" max="3" width="16.140625" customWidth="1"/>
    <col min="4" max="4" width="18.42578125" customWidth="1"/>
    <col min="5" max="5" width="20.5703125" customWidth="1"/>
    <col min="6" max="6" width="28.140625" customWidth="1"/>
    <col min="7" max="7" width="17.7109375" customWidth="1"/>
    <col min="8" max="8" width="17.42578125" customWidth="1"/>
    <col min="9" max="9" width="22" customWidth="1"/>
    <col min="10" max="10" width="17.5703125" customWidth="1"/>
    <col min="11" max="11" width="20.140625" customWidth="1"/>
    <col min="12" max="12" width="26.7109375" customWidth="1"/>
    <col min="13" max="13" width="22.140625" customWidth="1"/>
    <col min="14" max="14" width="21.5703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885</v>
      </c>
      <c r="L1" s="2" t="s">
        <v>886</v>
      </c>
      <c r="M1" s="2" t="s">
        <v>887</v>
      </c>
      <c r="N1" s="2" t="s">
        <v>888</v>
      </c>
      <c r="O1" s="2" t="s">
        <v>889</v>
      </c>
    </row>
    <row r="2" spans="1:15" x14ac:dyDescent="0.25">
      <c r="A2">
        <v>10</v>
      </c>
      <c r="B2" t="s">
        <v>10</v>
      </c>
      <c r="C2" t="s">
        <v>11</v>
      </c>
      <c r="D2" t="s">
        <v>12</v>
      </c>
      <c r="E2" t="s">
        <v>10</v>
      </c>
      <c r="F2" t="s">
        <v>10</v>
      </c>
      <c r="G2" t="s">
        <v>13</v>
      </c>
      <c r="H2" t="s">
        <v>14</v>
      </c>
      <c r="I2" t="s">
        <v>15</v>
      </c>
      <c r="J2">
        <v>5600</v>
      </c>
      <c r="K2" s="3">
        <v>1</v>
      </c>
      <c r="L2" s="3">
        <v>1</v>
      </c>
      <c r="M2" s="3">
        <f>IFERROR(VLOOKUP(A2,Hoja2!$A$2:$C$264,2,FALSE),0)</f>
        <v>865.77777777777783</v>
      </c>
      <c r="N2" s="3">
        <f>IFERROR(VLOOKUP(A2,Hoja2!$A$2:$C$264,3,FALSE),0)</f>
        <v>6519</v>
      </c>
      <c r="O2" s="4">
        <v>0.84243333333333326</v>
      </c>
    </row>
    <row r="3" spans="1:15" x14ac:dyDescent="0.25">
      <c r="A3">
        <v>13</v>
      </c>
      <c r="B3" t="s">
        <v>16</v>
      </c>
      <c r="C3" t="s">
        <v>17</v>
      </c>
      <c r="D3" t="s">
        <v>18</v>
      </c>
      <c r="E3" t="s">
        <v>18</v>
      </c>
      <c r="F3" t="s">
        <v>19</v>
      </c>
      <c r="G3" t="s">
        <v>20</v>
      </c>
      <c r="H3" t="s">
        <v>21</v>
      </c>
      <c r="I3" t="s">
        <v>15</v>
      </c>
      <c r="J3">
        <v>4266.666666666667</v>
      </c>
      <c r="K3" s="3">
        <v>2</v>
      </c>
      <c r="L3" s="3">
        <v>1</v>
      </c>
      <c r="M3" s="3">
        <f>IFERROR(VLOOKUP(A3,Hoja2!$A$2:$C$264,2,FALSE),0)</f>
        <v>875.81818181818187</v>
      </c>
      <c r="N3" s="3">
        <f>IFERROR(VLOOKUP(A3,Hoja2!$A$2:$C$264,3,FALSE),0)</f>
        <v>5142.5</v>
      </c>
      <c r="O3" s="4">
        <v>0.74933333333333341</v>
      </c>
    </row>
    <row r="4" spans="1:15" x14ac:dyDescent="0.25">
      <c r="A4">
        <v>23</v>
      </c>
      <c r="B4" t="s">
        <v>22</v>
      </c>
      <c r="C4" t="s">
        <v>17</v>
      </c>
      <c r="D4" t="s">
        <v>18</v>
      </c>
      <c r="E4" t="s">
        <v>18</v>
      </c>
      <c r="F4" t="s">
        <v>23</v>
      </c>
      <c r="G4" t="s">
        <v>24</v>
      </c>
      <c r="H4" t="s">
        <v>25</v>
      </c>
      <c r="I4" t="s">
        <v>15</v>
      </c>
      <c r="J4">
        <v>4374.666666666667</v>
      </c>
      <c r="K4" s="3">
        <v>2</v>
      </c>
      <c r="L4" s="3">
        <v>1</v>
      </c>
      <c r="M4" s="3">
        <f>IFERROR(VLOOKUP(A4,Hoja2!$A$2:$C$264,2,FALSE),0)</f>
        <v>701.4</v>
      </c>
      <c r="N4" s="3">
        <f>IFERROR(VLOOKUP(A4,Hoja2!$A$2:$C$264,3,FALSE),0)</f>
        <v>4750</v>
      </c>
      <c r="O4" s="4">
        <v>0.96423333333333316</v>
      </c>
    </row>
    <row r="5" spans="1:15" x14ac:dyDescent="0.25">
      <c r="A5">
        <v>30</v>
      </c>
      <c r="B5" t="s">
        <v>26</v>
      </c>
      <c r="C5" t="s">
        <v>27</v>
      </c>
      <c r="D5" t="s">
        <v>28</v>
      </c>
      <c r="E5" t="s">
        <v>27</v>
      </c>
      <c r="F5" t="s">
        <v>27</v>
      </c>
      <c r="G5" t="s">
        <v>29</v>
      </c>
      <c r="H5" t="s">
        <v>30</v>
      </c>
      <c r="I5" t="s">
        <v>15</v>
      </c>
      <c r="J5">
        <v>4625.666666666667</v>
      </c>
      <c r="K5" s="3">
        <v>1</v>
      </c>
      <c r="L5" s="3">
        <v>1</v>
      </c>
      <c r="M5" s="3">
        <f>IFERROR(VLOOKUP(A5,Hoja2!$A$2:$C$264,2,FALSE),0)</f>
        <v>864.5</v>
      </c>
      <c r="N5" s="3">
        <f>IFERROR(VLOOKUP(A5,Hoja2!$A$2:$C$264,3,FALSE),0)</f>
        <v>4294.5</v>
      </c>
      <c r="O5" s="4">
        <v>0.81099999999999994</v>
      </c>
    </row>
    <row r="6" spans="1:15" x14ac:dyDescent="0.25">
      <c r="A6">
        <v>38</v>
      </c>
      <c r="B6" t="s">
        <v>31</v>
      </c>
      <c r="C6" t="s">
        <v>11</v>
      </c>
      <c r="D6" t="s">
        <v>11</v>
      </c>
      <c r="E6" t="s">
        <v>11</v>
      </c>
      <c r="F6" t="s">
        <v>11</v>
      </c>
      <c r="G6" t="s">
        <v>32</v>
      </c>
      <c r="H6" t="s">
        <v>33</v>
      </c>
      <c r="I6" t="s">
        <v>34</v>
      </c>
      <c r="J6">
        <v>1707.6666666666667</v>
      </c>
      <c r="K6" s="3">
        <v>0</v>
      </c>
      <c r="L6" s="3">
        <v>1</v>
      </c>
      <c r="M6" s="3">
        <f>IFERROR(VLOOKUP(A6,Hoja2!$A$2:$C$264,2,FALSE),0)</f>
        <v>77.571428571428569</v>
      </c>
      <c r="N6" s="3">
        <f>IFERROR(VLOOKUP(A6,Hoja2!$A$2:$C$264,3,FALSE),0)</f>
        <v>399</v>
      </c>
      <c r="O6" s="4">
        <v>0.90710000000000002</v>
      </c>
    </row>
    <row r="7" spans="1:15" x14ac:dyDescent="0.25">
      <c r="A7">
        <v>48</v>
      </c>
      <c r="B7" t="s">
        <v>35</v>
      </c>
      <c r="C7" t="s">
        <v>36</v>
      </c>
      <c r="D7" t="s">
        <v>18</v>
      </c>
      <c r="E7" t="s">
        <v>18</v>
      </c>
      <c r="F7" t="s">
        <v>37</v>
      </c>
      <c r="G7" t="s">
        <v>38</v>
      </c>
      <c r="H7" t="s">
        <v>39</v>
      </c>
      <c r="I7" t="s">
        <v>15</v>
      </c>
      <c r="J7">
        <v>3228</v>
      </c>
      <c r="K7" s="3">
        <v>1</v>
      </c>
      <c r="L7" s="3">
        <v>0</v>
      </c>
      <c r="M7" s="3">
        <f>IFERROR(VLOOKUP(A7,Hoja2!$A$2:$C$264,2,FALSE),0)</f>
        <v>862</v>
      </c>
      <c r="N7" s="3">
        <f>IFERROR(VLOOKUP(A7,Hoja2!$A$2:$C$264,3,FALSE),0)</f>
        <v>4689.5</v>
      </c>
      <c r="O7" s="4">
        <v>0.79233333333333322</v>
      </c>
    </row>
    <row r="8" spans="1:15" x14ac:dyDescent="0.25">
      <c r="A8">
        <v>81</v>
      </c>
      <c r="B8" t="s">
        <v>40</v>
      </c>
      <c r="C8" t="s">
        <v>41</v>
      </c>
      <c r="D8" t="s">
        <v>42</v>
      </c>
      <c r="E8" t="s">
        <v>43</v>
      </c>
      <c r="F8" t="s">
        <v>40</v>
      </c>
      <c r="G8" t="s">
        <v>44</v>
      </c>
      <c r="H8" t="s">
        <v>45</v>
      </c>
      <c r="I8" t="s">
        <v>15</v>
      </c>
      <c r="J8">
        <v>4427.333333333333</v>
      </c>
      <c r="K8" s="3">
        <v>1</v>
      </c>
      <c r="L8" s="3">
        <v>0</v>
      </c>
      <c r="M8" s="3">
        <f>IFERROR(VLOOKUP(A8,Hoja2!$A$2:$C$264,2,FALSE),0)</f>
        <v>679.75</v>
      </c>
      <c r="N8" s="3">
        <f>IFERROR(VLOOKUP(A8,Hoja2!$A$2:$C$264,3,FALSE),0)</f>
        <v>4191</v>
      </c>
      <c r="O8" s="4">
        <v>0.73566666666666658</v>
      </c>
    </row>
    <row r="9" spans="1:15" x14ac:dyDescent="0.25">
      <c r="A9">
        <v>83</v>
      </c>
      <c r="B9" t="s">
        <v>46</v>
      </c>
      <c r="C9" t="s">
        <v>11</v>
      </c>
      <c r="D9" t="s">
        <v>11</v>
      </c>
      <c r="E9" t="s">
        <v>11</v>
      </c>
      <c r="F9" t="s">
        <v>11</v>
      </c>
      <c r="G9" t="s">
        <v>47</v>
      </c>
      <c r="H9" t="s">
        <v>48</v>
      </c>
      <c r="I9" t="s">
        <v>49</v>
      </c>
      <c r="J9">
        <v>5507.333333333333</v>
      </c>
      <c r="K9" s="3">
        <v>2</v>
      </c>
      <c r="L9" s="3">
        <v>1</v>
      </c>
      <c r="M9" s="3">
        <f>IFERROR(VLOOKUP(A9,Hoja2!$A$2:$C$264,2,FALSE),0)</f>
        <v>1131.4000000000001</v>
      </c>
      <c r="N9" s="3">
        <f>IFERROR(VLOOKUP(A9,Hoja2!$A$2:$C$264,3,FALSE),0)</f>
        <v>6708.5</v>
      </c>
      <c r="O9" s="4">
        <v>0.67433333333333334</v>
      </c>
    </row>
    <row r="10" spans="1:15" x14ac:dyDescent="0.25">
      <c r="A10">
        <v>94</v>
      </c>
      <c r="B10" t="s">
        <v>50</v>
      </c>
      <c r="C10" t="s">
        <v>51</v>
      </c>
      <c r="D10" t="s">
        <v>18</v>
      </c>
      <c r="E10" t="s">
        <v>18</v>
      </c>
      <c r="F10" t="s">
        <v>52</v>
      </c>
      <c r="G10" t="s">
        <v>53</v>
      </c>
      <c r="H10" t="s">
        <v>54</v>
      </c>
      <c r="I10" t="s">
        <v>15</v>
      </c>
      <c r="J10">
        <v>4448.666666666667</v>
      </c>
      <c r="K10" s="3">
        <v>2</v>
      </c>
      <c r="L10" s="3">
        <v>1</v>
      </c>
      <c r="M10" s="3">
        <f>IFERROR(VLOOKUP(A10,Hoja2!$A$2:$C$264,2,FALSE),0)</f>
        <v>1314.2</v>
      </c>
      <c r="N10" s="3">
        <f>IFERROR(VLOOKUP(A10,Hoja2!$A$2:$C$264,3,FALSE),0)</f>
        <v>6900.25</v>
      </c>
      <c r="O10" s="4">
        <v>0.71863333333333335</v>
      </c>
    </row>
    <row r="11" spans="1:15" x14ac:dyDescent="0.25">
      <c r="A11">
        <v>101</v>
      </c>
      <c r="B11" t="s">
        <v>55</v>
      </c>
      <c r="C11" t="s">
        <v>56</v>
      </c>
      <c r="D11" t="s">
        <v>18</v>
      </c>
      <c r="E11" t="s">
        <v>18</v>
      </c>
      <c r="F11" t="s">
        <v>18</v>
      </c>
      <c r="G11" t="s">
        <v>57</v>
      </c>
      <c r="H11" t="s">
        <v>58</v>
      </c>
      <c r="I11" t="s">
        <v>49</v>
      </c>
      <c r="J11">
        <v>5450.666666666667</v>
      </c>
      <c r="K11" s="3">
        <v>2</v>
      </c>
      <c r="L11" s="3">
        <v>2</v>
      </c>
      <c r="M11" s="3">
        <f>IFERROR(VLOOKUP(A11,Hoja2!$A$2:$C$264,2,FALSE),0)</f>
        <v>1276.5999999999999</v>
      </c>
      <c r="N11" s="3">
        <f>IFERROR(VLOOKUP(A11,Hoja2!$A$2:$C$264,3,FALSE),0)</f>
        <v>6859.5</v>
      </c>
      <c r="O11" s="4">
        <v>0.75613333333333321</v>
      </c>
    </row>
    <row r="12" spans="1:15" x14ac:dyDescent="0.25">
      <c r="A12">
        <v>102</v>
      </c>
      <c r="B12" t="s">
        <v>59</v>
      </c>
      <c r="C12" t="s">
        <v>60</v>
      </c>
      <c r="D12" t="s">
        <v>18</v>
      </c>
      <c r="E12" t="s">
        <v>18</v>
      </c>
      <c r="F12" t="s">
        <v>59</v>
      </c>
      <c r="G12" t="s">
        <v>61</v>
      </c>
      <c r="H12" t="s">
        <v>62</v>
      </c>
      <c r="I12" t="s">
        <v>49</v>
      </c>
      <c r="J12">
        <v>4214</v>
      </c>
      <c r="K12" s="3">
        <v>2</v>
      </c>
      <c r="L12" s="3">
        <v>1</v>
      </c>
      <c r="M12" s="3">
        <f>IFERROR(VLOOKUP(A12,Hoja2!$A$2:$C$264,2,FALSE),0)</f>
        <v>1385.4444444444443</v>
      </c>
      <c r="N12" s="3">
        <f>IFERROR(VLOOKUP(A12,Hoja2!$A$2:$C$264,3,FALSE),0)</f>
        <v>7590.75</v>
      </c>
      <c r="O12" s="4">
        <v>0.70569999999999988</v>
      </c>
    </row>
    <row r="13" spans="1:15" x14ac:dyDescent="0.25">
      <c r="A13">
        <v>103</v>
      </c>
      <c r="B13" t="s">
        <v>63</v>
      </c>
      <c r="C13" t="s">
        <v>56</v>
      </c>
      <c r="D13" t="s">
        <v>18</v>
      </c>
      <c r="E13" t="s">
        <v>18</v>
      </c>
      <c r="F13" t="s">
        <v>18</v>
      </c>
      <c r="G13" t="s">
        <v>64</v>
      </c>
      <c r="H13" t="s">
        <v>65</v>
      </c>
      <c r="I13" t="s">
        <v>66</v>
      </c>
      <c r="J13">
        <v>5819.666666666667</v>
      </c>
      <c r="K13" s="3">
        <v>2</v>
      </c>
      <c r="L13" s="3">
        <v>2</v>
      </c>
      <c r="M13" s="3">
        <f>IFERROR(VLOOKUP(A13,Hoja2!$A$2:$C$264,2,FALSE),0)</f>
        <v>921.3</v>
      </c>
      <c r="N13" s="3">
        <f>IFERROR(VLOOKUP(A13,Hoja2!$A$2:$C$264,3,FALSE),0)</f>
        <v>5469.5</v>
      </c>
      <c r="O13" s="4">
        <v>0.72420000000000007</v>
      </c>
    </row>
    <row r="14" spans="1:15" x14ac:dyDescent="0.25">
      <c r="A14">
        <v>106</v>
      </c>
      <c r="B14" t="s">
        <v>67</v>
      </c>
      <c r="C14" t="s">
        <v>68</v>
      </c>
      <c r="D14" t="s">
        <v>18</v>
      </c>
      <c r="E14" t="s">
        <v>18</v>
      </c>
      <c r="F14" t="s">
        <v>68</v>
      </c>
      <c r="G14" t="s">
        <v>69</v>
      </c>
      <c r="H14" t="s">
        <v>70</v>
      </c>
      <c r="I14" t="s">
        <v>49</v>
      </c>
      <c r="J14">
        <v>5555.666666666667</v>
      </c>
      <c r="K14" s="3">
        <v>2</v>
      </c>
      <c r="L14" s="3">
        <v>1</v>
      </c>
      <c r="M14" s="3">
        <f>IFERROR(VLOOKUP(A14,Hoja2!$A$2:$C$264,2,FALSE),0)</f>
        <v>811.66666666666663</v>
      </c>
      <c r="N14" s="3">
        <f>IFERROR(VLOOKUP(A14,Hoja2!$A$2:$C$264,3,FALSE),0)</f>
        <v>6118.25</v>
      </c>
      <c r="O14" s="4">
        <v>0.68426666666666669</v>
      </c>
    </row>
    <row r="15" spans="1:15" x14ac:dyDescent="0.25">
      <c r="A15">
        <v>107</v>
      </c>
      <c r="B15" t="s">
        <v>71</v>
      </c>
      <c r="C15" t="s">
        <v>60</v>
      </c>
      <c r="D15" t="s">
        <v>18</v>
      </c>
      <c r="E15" t="s">
        <v>18</v>
      </c>
      <c r="F15" t="s">
        <v>72</v>
      </c>
      <c r="G15" t="s">
        <v>73</v>
      </c>
      <c r="H15" t="s">
        <v>74</v>
      </c>
      <c r="I15" t="s">
        <v>15</v>
      </c>
      <c r="J15">
        <v>2369.3333333333335</v>
      </c>
      <c r="K15" s="3">
        <v>2</v>
      </c>
      <c r="L15" s="3">
        <v>0</v>
      </c>
      <c r="M15" s="3">
        <f>IFERROR(VLOOKUP(A15,Hoja2!$A$2:$C$264,2,FALSE),0)</f>
        <v>579.20000000000005</v>
      </c>
      <c r="N15" s="3">
        <f>IFERROR(VLOOKUP(A15,Hoja2!$A$2:$C$264,3,FALSE),0)</f>
        <v>3108.5</v>
      </c>
      <c r="O15" s="4">
        <v>0.89029999999999998</v>
      </c>
    </row>
    <row r="16" spans="1:15" x14ac:dyDescent="0.25">
      <c r="A16">
        <v>108</v>
      </c>
      <c r="B16" t="s">
        <v>75</v>
      </c>
      <c r="C16" t="s">
        <v>56</v>
      </c>
      <c r="D16" t="s">
        <v>18</v>
      </c>
      <c r="E16" t="s">
        <v>18</v>
      </c>
      <c r="F16" t="s">
        <v>75</v>
      </c>
      <c r="G16" t="s">
        <v>76</v>
      </c>
      <c r="H16" t="s">
        <v>77</v>
      </c>
      <c r="I16" t="s">
        <v>15</v>
      </c>
      <c r="J16">
        <v>4203.333333333333</v>
      </c>
      <c r="K16" s="3">
        <v>2</v>
      </c>
      <c r="L16" s="3">
        <v>1</v>
      </c>
      <c r="M16" s="3">
        <f>IFERROR(VLOOKUP(A16,Hoja2!$A$2:$C$264,2,FALSE),0)</f>
        <v>932.5</v>
      </c>
      <c r="N16" s="3">
        <f>IFERROR(VLOOKUP(A16,Hoja2!$A$2:$C$264,3,FALSE),0)</f>
        <v>5190</v>
      </c>
      <c r="O16" s="4">
        <v>0.79606666666666659</v>
      </c>
    </row>
    <row r="17" spans="1:15" x14ac:dyDescent="0.25">
      <c r="A17">
        <v>109</v>
      </c>
      <c r="B17" t="s">
        <v>68</v>
      </c>
      <c r="C17" t="s">
        <v>68</v>
      </c>
      <c r="D17" t="s">
        <v>18</v>
      </c>
      <c r="E17" t="s">
        <v>18</v>
      </c>
      <c r="F17" t="s">
        <v>68</v>
      </c>
      <c r="G17" t="s">
        <v>78</v>
      </c>
      <c r="H17" t="s">
        <v>79</v>
      </c>
      <c r="I17" t="s">
        <v>49</v>
      </c>
      <c r="J17">
        <v>6151.333333333333</v>
      </c>
      <c r="K17" s="3">
        <v>3</v>
      </c>
      <c r="L17" s="3">
        <v>2</v>
      </c>
      <c r="M17" s="3">
        <f>IFERROR(VLOOKUP(A17,Hoja2!$A$2:$C$264,2,FALSE),0)</f>
        <v>1107.1818181818182</v>
      </c>
      <c r="N17" s="3">
        <f>IFERROR(VLOOKUP(A17,Hoja2!$A$2:$C$264,3,FALSE),0)</f>
        <v>7408.75</v>
      </c>
      <c r="O17" s="4">
        <v>0.58716666666666673</v>
      </c>
    </row>
    <row r="18" spans="1:15" x14ac:dyDescent="0.25">
      <c r="A18">
        <v>111</v>
      </c>
      <c r="B18" t="s">
        <v>80</v>
      </c>
      <c r="C18" t="s">
        <v>81</v>
      </c>
      <c r="D18" t="s">
        <v>18</v>
      </c>
      <c r="E18" t="s">
        <v>18</v>
      </c>
      <c r="F18" t="s">
        <v>80</v>
      </c>
      <c r="G18" t="s">
        <v>82</v>
      </c>
      <c r="H18" t="s">
        <v>83</v>
      </c>
      <c r="I18" t="s">
        <v>15</v>
      </c>
      <c r="J18">
        <v>3721.3333333333335</v>
      </c>
      <c r="K18" s="3">
        <v>1</v>
      </c>
      <c r="L18" s="3">
        <v>1</v>
      </c>
      <c r="M18" s="3">
        <f>IFERROR(VLOOKUP(A18,Hoja2!$A$2:$C$264,2,FALSE),0)</f>
        <v>782.3</v>
      </c>
      <c r="N18" s="3">
        <f>IFERROR(VLOOKUP(A18,Hoja2!$A$2:$C$264,3,FALSE),0)</f>
        <v>4616.25</v>
      </c>
      <c r="O18" s="4">
        <v>0.7684333333333333</v>
      </c>
    </row>
    <row r="19" spans="1:15" x14ac:dyDescent="0.25">
      <c r="A19">
        <v>112</v>
      </c>
      <c r="B19" t="s">
        <v>84</v>
      </c>
      <c r="C19" t="s">
        <v>51</v>
      </c>
      <c r="D19" t="s">
        <v>18</v>
      </c>
      <c r="E19" t="s">
        <v>18</v>
      </c>
      <c r="F19" t="s">
        <v>85</v>
      </c>
      <c r="G19" t="s">
        <v>86</v>
      </c>
      <c r="H19" t="s">
        <v>87</v>
      </c>
      <c r="I19" t="s">
        <v>15</v>
      </c>
      <c r="J19">
        <v>3225</v>
      </c>
      <c r="K19" s="3">
        <v>1</v>
      </c>
      <c r="L19" s="3">
        <v>1</v>
      </c>
      <c r="M19" s="3">
        <f>IFERROR(VLOOKUP(A19,Hoja2!$A$2:$C$264,2,FALSE),0)</f>
        <v>513.29999999999995</v>
      </c>
      <c r="N19" s="3">
        <f>IFERROR(VLOOKUP(A19,Hoja2!$A$2:$C$264,3,FALSE),0)</f>
        <v>3274.5</v>
      </c>
      <c r="O19" s="4">
        <v>0.84343333333333337</v>
      </c>
    </row>
    <row r="20" spans="1:15" x14ac:dyDescent="0.25">
      <c r="A20">
        <v>113</v>
      </c>
      <c r="B20" t="s">
        <v>88</v>
      </c>
      <c r="C20" t="s">
        <v>81</v>
      </c>
      <c r="D20" t="s">
        <v>18</v>
      </c>
      <c r="E20" t="s">
        <v>18</v>
      </c>
      <c r="F20" t="s">
        <v>89</v>
      </c>
      <c r="G20" t="s">
        <v>90</v>
      </c>
      <c r="H20" t="s">
        <v>91</v>
      </c>
      <c r="I20" t="s">
        <v>15</v>
      </c>
      <c r="J20">
        <v>3455</v>
      </c>
      <c r="K20" s="3">
        <v>1</v>
      </c>
      <c r="L20" s="3">
        <v>1</v>
      </c>
      <c r="M20" s="3">
        <f>IFERROR(VLOOKUP(A20,Hoja2!$A$2:$C$264,2,FALSE),0)</f>
        <v>920.2</v>
      </c>
      <c r="N20" s="3">
        <f>IFERROR(VLOOKUP(A20,Hoja2!$A$2:$C$264,3,FALSE),0)</f>
        <v>4864.75</v>
      </c>
      <c r="O20" s="4">
        <v>0.7930666666666667</v>
      </c>
    </row>
    <row r="21" spans="1:15" x14ac:dyDescent="0.25">
      <c r="A21">
        <v>114</v>
      </c>
      <c r="B21" t="s">
        <v>92</v>
      </c>
      <c r="C21" t="s">
        <v>36</v>
      </c>
      <c r="D21" t="s">
        <v>18</v>
      </c>
      <c r="E21" t="s">
        <v>18</v>
      </c>
      <c r="F21" t="s">
        <v>92</v>
      </c>
      <c r="G21" t="s">
        <v>93</v>
      </c>
      <c r="H21" t="s">
        <v>94</v>
      </c>
      <c r="I21" t="s">
        <v>15</v>
      </c>
      <c r="J21">
        <v>3625.3333333333335</v>
      </c>
      <c r="K21" s="3">
        <v>2</v>
      </c>
      <c r="L21" s="3">
        <v>2</v>
      </c>
      <c r="M21" s="3">
        <f>IFERROR(VLOOKUP(A21,Hoja2!$A$2:$C$264,2,FALSE),0)</f>
        <v>791.8</v>
      </c>
      <c r="N21" s="3">
        <f>IFERROR(VLOOKUP(A21,Hoja2!$A$2:$C$264,3,FALSE),0)</f>
        <v>4744</v>
      </c>
      <c r="O21" s="4">
        <v>0.86403333333333343</v>
      </c>
    </row>
    <row r="22" spans="1:15" x14ac:dyDescent="0.25">
      <c r="A22">
        <v>115</v>
      </c>
      <c r="B22" t="s">
        <v>85</v>
      </c>
      <c r="C22" t="s">
        <v>51</v>
      </c>
      <c r="D22" t="s">
        <v>18</v>
      </c>
      <c r="E22" t="s">
        <v>18</v>
      </c>
      <c r="F22" t="s">
        <v>85</v>
      </c>
      <c r="G22" t="s">
        <v>95</v>
      </c>
      <c r="H22" t="s">
        <v>96</v>
      </c>
      <c r="I22" t="s">
        <v>15</v>
      </c>
      <c r="J22">
        <v>4811</v>
      </c>
      <c r="K22" s="3">
        <v>1</v>
      </c>
      <c r="L22" s="3">
        <v>1</v>
      </c>
      <c r="M22" s="3">
        <f>IFERROR(VLOOKUP(A22,Hoja2!$A$2:$C$264,2,FALSE),0)</f>
        <v>815.9</v>
      </c>
      <c r="N22" s="3">
        <f>IFERROR(VLOOKUP(A22,Hoja2!$A$2:$C$264,3,FALSE),0)</f>
        <v>5435.75</v>
      </c>
      <c r="O22" s="4">
        <v>0.65803333333333336</v>
      </c>
    </row>
    <row r="23" spans="1:15" x14ac:dyDescent="0.25">
      <c r="A23">
        <v>116</v>
      </c>
      <c r="B23" t="s">
        <v>97</v>
      </c>
      <c r="C23" t="s">
        <v>81</v>
      </c>
      <c r="D23" t="s">
        <v>18</v>
      </c>
      <c r="E23" t="s">
        <v>18</v>
      </c>
      <c r="F23" t="s">
        <v>97</v>
      </c>
      <c r="G23" t="s">
        <v>98</v>
      </c>
      <c r="H23" t="s">
        <v>99</v>
      </c>
      <c r="I23" t="s">
        <v>15</v>
      </c>
      <c r="J23">
        <v>3267</v>
      </c>
      <c r="K23" s="3">
        <v>2</v>
      </c>
      <c r="L23" s="3">
        <v>1</v>
      </c>
      <c r="M23" s="3">
        <f>IFERROR(VLOOKUP(A23,Hoja2!$A$2:$C$264,2,FALSE),0)</f>
        <v>1101.75</v>
      </c>
      <c r="N23" s="3">
        <f>IFERROR(VLOOKUP(A23,Hoja2!$A$2:$C$264,3,FALSE),0)</f>
        <v>4818.5</v>
      </c>
      <c r="O23" s="4">
        <v>0.76593333333333335</v>
      </c>
    </row>
    <row r="24" spans="1:15" x14ac:dyDescent="0.25">
      <c r="A24">
        <v>117</v>
      </c>
      <c r="B24" t="s">
        <v>100</v>
      </c>
      <c r="C24" t="s">
        <v>101</v>
      </c>
      <c r="D24" t="s">
        <v>18</v>
      </c>
      <c r="E24" t="s">
        <v>18</v>
      </c>
      <c r="F24" t="s">
        <v>101</v>
      </c>
      <c r="G24" t="s">
        <v>102</v>
      </c>
      <c r="H24" t="s">
        <v>103</v>
      </c>
      <c r="I24" t="s">
        <v>104</v>
      </c>
      <c r="J24">
        <v>8753</v>
      </c>
      <c r="K24" s="3">
        <v>3</v>
      </c>
      <c r="L24" s="3">
        <v>2</v>
      </c>
      <c r="M24" s="3">
        <f>IFERROR(VLOOKUP(A24,Hoja2!$A$2:$C$264,2,FALSE),0)</f>
        <v>1605</v>
      </c>
      <c r="N24" s="3">
        <f>IFERROR(VLOOKUP(A24,Hoja2!$A$2:$C$264,3,FALSE),0)</f>
        <v>8981.75</v>
      </c>
      <c r="O24" s="4">
        <v>0.72409999999999997</v>
      </c>
    </row>
    <row r="25" spans="1:15" x14ac:dyDescent="0.25">
      <c r="A25">
        <v>118</v>
      </c>
      <c r="B25" t="s">
        <v>105</v>
      </c>
      <c r="C25" t="s">
        <v>60</v>
      </c>
      <c r="D25" t="s">
        <v>18</v>
      </c>
      <c r="E25" t="s">
        <v>18</v>
      </c>
      <c r="F25" t="s">
        <v>106</v>
      </c>
      <c r="G25" t="s">
        <v>107</v>
      </c>
      <c r="H25" t="s">
        <v>108</v>
      </c>
      <c r="I25" t="s">
        <v>15</v>
      </c>
      <c r="J25">
        <v>2873.6666666666665</v>
      </c>
      <c r="K25" s="3">
        <v>1</v>
      </c>
      <c r="L25" s="3">
        <v>2</v>
      </c>
      <c r="M25" s="3">
        <f>IFERROR(VLOOKUP(A25,Hoja2!$A$2:$C$264,2,FALSE),0)</f>
        <v>716.6</v>
      </c>
      <c r="N25" s="3">
        <f>IFERROR(VLOOKUP(A25,Hoja2!$A$2:$C$264,3,FALSE),0)</f>
        <v>3749.75</v>
      </c>
      <c r="O25" s="4">
        <v>0.86816666666666675</v>
      </c>
    </row>
    <row r="26" spans="1:15" x14ac:dyDescent="0.25">
      <c r="A26">
        <v>333</v>
      </c>
      <c r="B26" t="s">
        <v>101</v>
      </c>
      <c r="C26" t="s">
        <v>101</v>
      </c>
      <c r="D26" t="s">
        <v>18</v>
      </c>
      <c r="E26" t="s">
        <v>18</v>
      </c>
      <c r="F26" t="s">
        <v>101</v>
      </c>
      <c r="G26" t="s">
        <v>109</v>
      </c>
      <c r="H26" t="s">
        <v>110</v>
      </c>
      <c r="I26" t="s">
        <v>15</v>
      </c>
      <c r="J26">
        <v>4074.6666666666665</v>
      </c>
      <c r="K26" s="3">
        <v>2</v>
      </c>
      <c r="L26" s="3">
        <v>1</v>
      </c>
      <c r="M26" s="3">
        <f>IFERROR(VLOOKUP(A26,Hoja2!$A$2:$C$264,2,FALSE),0)</f>
        <v>611.27272727272725</v>
      </c>
      <c r="N26" s="3">
        <f>IFERROR(VLOOKUP(A26,Hoja2!$A$2:$C$264,3,FALSE),0)</f>
        <v>4524.25</v>
      </c>
      <c r="O26" s="4">
        <v>0.79626666666666657</v>
      </c>
    </row>
    <row r="27" spans="1:15" x14ac:dyDescent="0.25">
      <c r="A27">
        <v>120</v>
      </c>
      <c r="B27" t="s">
        <v>111</v>
      </c>
      <c r="C27" t="s">
        <v>60</v>
      </c>
      <c r="D27" t="s">
        <v>18</v>
      </c>
      <c r="E27" t="s">
        <v>18</v>
      </c>
      <c r="F27" t="s">
        <v>72</v>
      </c>
      <c r="G27" t="s">
        <v>112</v>
      </c>
      <c r="H27" t="s">
        <v>113</v>
      </c>
      <c r="I27" t="s">
        <v>114</v>
      </c>
      <c r="J27">
        <v>1666.3333333333333</v>
      </c>
      <c r="K27" s="3">
        <v>1</v>
      </c>
      <c r="L27" s="3">
        <v>0</v>
      </c>
      <c r="M27" s="3">
        <f>IFERROR(VLOOKUP(A27,Hoja2!$A$2:$C$264,2,FALSE),0)</f>
        <v>428.77777777777777</v>
      </c>
      <c r="N27" s="3">
        <f>IFERROR(VLOOKUP(A27,Hoja2!$A$2:$C$264,3,FALSE),0)</f>
        <v>3087.75</v>
      </c>
      <c r="O27" s="4">
        <v>0.91603333333333337</v>
      </c>
    </row>
    <row r="28" spans="1:15" x14ac:dyDescent="0.25">
      <c r="A28">
        <v>121</v>
      </c>
      <c r="B28" t="s">
        <v>115</v>
      </c>
      <c r="C28" t="s">
        <v>36</v>
      </c>
      <c r="D28" t="s">
        <v>18</v>
      </c>
      <c r="E28" t="s">
        <v>18</v>
      </c>
      <c r="F28" t="s">
        <v>116</v>
      </c>
      <c r="G28" t="s">
        <v>117</v>
      </c>
      <c r="H28" t="s">
        <v>118</v>
      </c>
      <c r="I28" t="s">
        <v>15</v>
      </c>
      <c r="J28">
        <v>2041.6666666666667</v>
      </c>
      <c r="K28" s="3">
        <v>0</v>
      </c>
      <c r="L28" s="3">
        <v>0</v>
      </c>
      <c r="M28" s="3">
        <f>IFERROR(VLOOKUP(A28,Hoja2!$A$2:$C$264,2,FALSE),0)</f>
        <v>1.3333333333333333</v>
      </c>
      <c r="N28" s="3">
        <f>IFERROR(VLOOKUP(A28,Hoja2!$A$2:$C$264,3,FALSE),0)</f>
        <v>1.75</v>
      </c>
      <c r="O28" s="4">
        <v>1</v>
      </c>
    </row>
    <row r="29" spans="1:15" x14ac:dyDescent="0.25">
      <c r="A29">
        <v>122</v>
      </c>
      <c r="B29" t="s">
        <v>119</v>
      </c>
      <c r="C29" t="s">
        <v>60</v>
      </c>
      <c r="D29" t="s">
        <v>18</v>
      </c>
      <c r="E29" t="s">
        <v>18</v>
      </c>
      <c r="F29" t="s">
        <v>120</v>
      </c>
      <c r="G29" t="s">
        <v>121</v>
      </c>
      <c r="H29" t="s">
        <v>122</v>
      </c>
      <c r="I29" t="s">
        <v>66</v>
      </c>
      <c r="J29">
        <v>5497.666666666667</v>
      </c>
      <c r="K29" s="3">
        <v>2</v>
      </c>
      <c r="L29" s="3">
        <v>2</v>
      </c>
      <c r="M29" s="3">
        <f>IFERROR(VLOOKUP(A29,Hoja2!$A$2:$C$264,2,FALSE),0)</f>
        <v>1417.6</v>
      </c>
      <c r="N29" s="3">
        <f>IFERROR(VLOOKUP(A29,Hoja2!$A$2:$C$264,3,FALSE),0)</f>
        <v>7668.5</v>
      </c>
      <c r="O29" s="4">
        <v>0.75516666666666665</v>
      </c>
    </row>
    <row r="30" spans="1:15" x14ac:dyDescent="0.25">
      <c r="A30">
        <v>486</v>
      </c>
      <c r="B30" t="s">
        <v>123</v>
      </c>
      <c r="C30" t="s">
        <v>101</v>
      </c>
      <c r="D30" t="s">
        <v>18</v>
      </c>
      <c r="E30" t="s">
        <v>18</v>
      </c>
      <c r="F30" t="s">
        <v>123</v>
      </c>
      <c r="G30" t="s">
        <v>124</v>
      </c>
      <c r="H30" t="s">
        <v>125</v>
      </c>
      <c r="I30" t="s">
        <v>15</v>
      </c>
      <c r="J30">
        <v>3489</v>
      </c>
      <c r="K30" s="3">
        <v>3</v>
      </c>
      <c r="L30" s="3">
        <v>2</v>
      </c>
      <c r="M30" s="3">
        <f>IFERROR(VLOOKUP(A30,Hoja2!$A$2:$C$264,2,FALSE),0)</f>
        <v>597.69230769230774</v>
      </c>
      <c r="N30" s="3">
        <f>IFERROR(VLOOKUP(A30,Hoja2!$A$2:$C$264,3,FALSE),0)</f>
        <v>4299.75</v>
      </c>
      <c r="O30" s="4">
        <v>0.72883333333333333</v>
      </c>
    </row>
    <row r="31" spans="1:15" x14ac:dyDescent="0.25">
      <c r="A31">
        <v>142</v>
      </c>
      <c r="B31" t="s">
        <v>126</v>
      </c>
      <c r="C31" t="s">
        <v>101</v>
      </c>
      <c r="D31" t="s">
        <v>18</v>
      </c>
      <c r="E31" t="s">
        <v>18</v>
      </c>
      <c r="F31" t="s">
        <v>123</v>
      </c>
      <c r="G31" t="s">
        <v>127</v>
      </c>
      <c r="H31" t="s">
        <v>128</v>
      </c>
      <c r="I31" t="s">
        <v>66</v>
      </c>
      <c r="J31">
        <v>6070.666666666667</v>
      </c>
      <c r="K31" s="3">
        <v>3</v>
      </c>
      <c r="L31" s="3">
        <v>2</v>
      </c>
      <c r="M31" s="3">
        <f>IFERROR(VLOOKUP(A31,Hoja2!$A$2:$C$264,2,FALSE),0)</f>
        <v>1349.3333333333333</v>
      </c>
      <c r="N31" s="3">
        <f>IFERROR(VLOOKUP(A31,Hoja2!$A$2:$C$264,3,FALSE),0)</f>
        <v>8152.75</v>
      </c>
      <c r="O31" s="4">
        <v>0.60183333333333333</v>
      </c>
    </row>
    <row r="32" spans="1:15" x14ac:dyDescent="0.25">
      <c r="A32">
        <v>126</v>
      </c>
      <c r="B32" t="s">
        <v>129</v>
      </c>
      <c r="C32" t="s">
        <v>56</v>
      </c>
      <c r="D32" t="s">
        <v>18</v>
      </c>
      <c r="E32" t="s">
        <v>18</v>
      </c>
      <c r="F32" t="s">
        <v>18</v>
      </c>
      <c r="G32" t="s">
        <v>130</v>
      </c>
      <c r="H32" t="s">
        <v>131</v>
      </c>
      <c r="I32" t="s">
        <v>114</v>
      </c>
      <c r="J32">
        <v>2761</v>
      </c>
      <c r="K32" s="3">
        <v>2</v>
      </c>
      <c r="L32" s="3">
        <v>1</v>
      </c>
      <c r="M32" s="3">
        <f>IFERROR(VLOOKUP(A32,Hoja2!$A$2:$C$264,2,FALSE),0)</f>
        <v>668.72727272727275</v>
      </c>
      <c r="N32" s="3">
        <f>IFERROR(VLOOKUP(A32,Hoja2!$A$2:$C$264,3,FALSE),0)</f>
        <v>3916.75</v>
      </c>
      <c r="O32" s="4">
        <v>0.81246666666666678</v>
      </c>
    </row>
    <row r="33" spans="1:15" x14ac:dyDescent="0.25">
      <c r="A33">
        <v>127</v>
      </c>
      <c r="B33" t="s">
        <v>132</v>
      </c>
      <c r="C33" t="s">
        <v>60</v>
      </c>
      <c r="D33" t="s">
        <v>18</v>
      </c>
      <c r="E33" t="s">
        <v>18</v>
      </c>
      <c r="F33" t="s">
        <v>59</v>
      </c>
      <c r="G33" t="s">
        <v>133</v>
      </c>
      <c r="H33" t="s">
        <v>134</v>
      </c>
      <c r="I33" t="s">
        <v>49</v>
      </c>
      <c r="J33">
        <v>5119.333333333333</v>
      </c>
      <c r="K33" s="3">
        <v>3</v>
      </c>
      <c r="L33" s="3">
        <v>1</v>
      </c>
      <c r="M33" s="3">
        <f>IFERROR(VLOOKUP(A33,Hoja2!$A$2:$C$264,2,FALSE),0)</f>
        <v>1952.5555555555557</v>
      </c>
      <c r="N33" s="3">
        <f>IFERROR(VLOOKUP(A33,Hoja2!$A$2:$C$264,3,FALSE),0)</f>
        <v>9000</v>
      </c>
      <c r="O33" s="4">
        <v>0.77686666666666671</v>
      </c>
    </row>
    <row r="34" spans="1:15" x14ac:dyDescent="0.25">
      <c r="A34">
        <v>128</v>
      </c>
      <c r="B34" t="s">
        <v>135</v>
      </c>
      <c r="C34" t="s">
        <v>56</v>
      </c>
      <c r="D34" t="s">
        <v>18</v>
      </c>
      <c r="E34" t="s">
        <v>18</v>
      </c>
      <c r="F34" t="s">
        <v>136</v>
      </c>
      <c r="G34" t="s">
        <v>137</v>
      </c>
      <c r="H34" t="s">
        <v>138</v>
      </c>
      <c r="I34" t="s">
        <v>49</v>
      </c>
      <c r="J34">
        <v>4568.666666666667</v>
      </c>
      <c r="K34" s="3">
        <v>2</v>
      </c>
      <c r="L34" s="3">
        <v>1</v>
      </c>
      <c r="M34" s="3">
        <f>IFERROR(VLOOKUP(A34,Hoja2!$A$2:$C$264,2,FALSE),0)</f>
        <v>1189.1111111111111</v>
      </c>
      <c r="N34" s="3">
        <f>IFERROR(VLOOKUP(A34,Hoja2!$A$2:$C$264,3,FALSE),0)</f>
        <v>6155</v>
      </c>
      <c r="O34" s="4">
        <v>0.88500000000000012</v>
      </c>
    </row>
    <row r="35" spans="1:15" x14ac:dyDescent="0.25">
      <c r="A35">
        <v>129</v>
      </c>
      <c r="B35" t="s">
        <v>139</v>
      </c>
      <c r="C35" t="s">
        <v>68</v>
      </c>
      <c r="D35" t="s">
        <v>18</v>
      </c>
      <c r="E35" t="s">
        <v>18</v>
      </c>
      <c r="F35" t="s">
        <v>140</v>
      </c>
      <c r="G35" t="s">
        <v>141</v>
      </c>
      <c r="H35" t="s">
        <v>142</v>
      </c>
      <c r="I35" t="s">
        <v>49</v>
      </c>
      <c r="J35">
        <v>3738.3333333333335</v>
      </c>
      <c r="K35" s="3">
        <v>1</v>
      </c>
      <c r="L35" s="3">
        <v>1</v>
      </c>
      <c r="M35" s="3">
        <f>IFERROR(VLOOKUP(A35,Hoja2!$A$2:$C$264,2,FALSE),0)</f>
        <v>1322.625</v>
      </c>
      <c r="N35" s="3">
        <f>IFERROR(VLOOKUP(A35,Hoja2!$A$2:$C$264,3,FALSE),0)</f>
        <v>5230.75</v>
      </c>
      <c r="O35" s="4">
        <v>0.8212666666666667</v>
      </c>
    </row>
    <row r="36" spans="1:15" x14ac:dyDescent="0.25">
      <c r="A36">
        <v>130</v>
      </c>
      <c r="B36" t="s">
        <v>18</v>
      </c>
      <c r="C36" t="s">
        <v>56</v>
      </c>
      <c r="D36" t="s">
        <v>18</v>
      </c>
      <c r="E36" t="s">
        <v>18</v>
      </c>
      <c r="F36" t="s">
        <v>18</v>
      </c>
      <c r="G36" t="s">
        <v>143</v>
      </c>
      <c r="H36" t="s">
        <v>144</v>
      </c>
      <c r="I36" t="s">
        <v>15</v>
      </c>
      <c r="J36">
        <v>3997.3333333333335</v>
      </c>
      <c r="K36" s="3">
        <v>1</v>
      </c>
      <c r="L36" s="3">
        <v>1</v>
      </c>
      <c r="M36" s="3">
        <f>IFERROR(VLOOKUP(A36,Hoja2!$A$2:$C$264,2,FALSE),0)</f>
        <v>904.11111111111109</v>
      </c>
      <c r="N36" s="3">
        <f>IFERROR(VLOOKUP(A36,Hoja2!$A$2:$C$264,3,FALSE),0)</f>
        <v>4560</v>
      </c>
      <c r="O36" s="4">
        <v>0.76636666666666675</v>
      </c>
    </row>
    <row r="37" spans="1:15" x14ac:dyDescent="0.25">
      <c r="A37">
        <v>131</v>
      </c>
      <c r="B37" t="s">
        <v>145</v>
      </c>
      <c r="C37" t="s">
        <v>51</v>
      </c>
      <c r="D37" t="s">
        <v>18</v>
      </c>
      <c r="E37" t="s">
        <v>18</v>
      </c>
      <c r="F37" t="s">
        <v>85</v>
      </c>
      <c r="G37" t="s">
        <v>146</v>
      </c>
      <c r="H37" t="s">
        <v>147</v>
      </c>
      <c r="I37" t="s">
        <v>15</v>
      </c>
      <c r="J37">
        <v>3752.6666666666665</v>
      </c>
      <c r="K37" s="3">
        <v>1</v>
      </c>
      <c r="L37" s="3">
        <v>1</v>
      </c>
      <c r="M37" s="3">
        <f>IFERROR(VLOOKUP(A37,Hoja2!$A$2:$C$264,2,FALSE),0)</f>
        <v>702.9</v>
      </c>
      <c r="N37" s="3">
        <f>IFERROR(VLOOKUP(A37,Hoja2!$A$2:$C$264,3,FALSE),0)</f>
        <v>4408.25</v>
      </c>
      <c r="O37" s="4">
        <v>0.74563333333333326</v>
      </c>
    </row>
    <row r="38" spans="1:15" x14ac:dyDescent="0.25">
      <c r="A38">
        <v>132</v>
      </c>
      <c r="B38" t="s">
        <v>148</v>
      </c>
      <c r="C38" t="s">
        <v>56</v>
      </c>
      <c r="D38" t="s">
        <v>18</v>
      </c>
      <c r="E38" t="s">
        <v>18</v>
      </c>
      <c r="F38" t="s">
        <v>18</v>
      </c>
      <c r="G38" t="s">
        <v>149</v>
      </c>
      <c r="H38" t="s">
        <v>150</v>
      </c>
      <c r="I38" t="s">
        <v>114</v>
      </c>
      <c r="J38">
        <v>1526</v>
      </c>
      <c r="K38" s="3">
        <v>1</v>
      </c>
      <c r="L38" s="3">
        <v>0</v>
      </c>
      <c r="M38" s="3">
        <f>IFERROR(VLOOKUP(A38,Hoja2!$A$2:$C$264,2,FALSE),0)</f>
        <v>261.25</v>
      </c>
      <c r="N38" s="3">
        <f>IFERROR(VLOOKUP(A38,Hoja2!$A$2:$C$264,3,FALSE),0)</f>
        <v>1405.5</v>
      </c>
      <c r="O38" s="4">
        <v>0.93986666666666663</v>
      </c>
    </row>
    <row r="39" spans="1:15" x14ac:dyDescent="0.25">
      <c r="A39">
        <v>133</v>
      </c>
      <c r="B39" t="s">
        <v>151</v>
      </c>
      <c r="C39" t="s">
        <v>36</v>
      </c>
      <c r="D39" t="s">
        <v>18</v>
      </c>
      <c r="E39" t="s">
        <v>18</v>
      </c>
      <c r="F39" t="s">
        <v>151</v>
      </c>
      <c r="G39" t="s">
        <v>152</v>
      </c>
      <c r="H39" t="s">
        <v>153</v>
      </c>
      <c r="I39" t="s">
        <v>15</v>
      </c>
      <c r="J39">
        <v>4144.666666666667</v>
      </c>
      <c r="K39" s="3">
        <v>2</v>
      </c>
      <c r="L39" s="3">
        <v>1</v>
      </c>
      <c r="M39" s="3">
        <f>IFERROR(VLOOKUP(A39,Hoja2!$A$2:$C$264,2,FALSE),0)</f>
        <v>1350.1111111111111</v>
      </c>
      <c r="N39" s="3">
        <f>IFERROR(VLOOKUP(A39,Hoja2!$A$2:$C$264,3,FALSE),0)</f>
        <v>6460.25</v>
      </c>
      <c r="O39" s="4">
        <v>0.68813333333333337</v>
      </c>
    </row>
    <row r="40" spans="1:15" x14ac:dyDescent="0.25">
      <c r="A40">
        <v>135</v>
      </c>
      <c r="B40" t="s">
        <v>154</v>
      </c>
      <c r="C40" t="s">
        <v>36</v>
      </c>
      <c r="D40" t="s">
        <v>18</v>
      </c>
      <c r="E40" t="s">
        <v>18</v>
      </c>
      <c r="F40" t="s">
        <v>154</v>
      </c>
      <c r="G40" t="s">
        <v>155</v>
      </c>
      <c r="H40" t="s">
        <v>156</v>
      </c>
      <c r="I40" t="s">
        <v>66</v>
      </c>
      <c r="J40">
        <v>4742</v>
      </c>
      <c r="K40" s="3">
        <v>2</v>
      </c>
      <c r="L40" s="3">
        <v>1</v>
      </c>
      <c r="M40" s="3">
        <f>IFERROR(VLOOKUP(A40,Hoja2!$A$2:$C$264,2,FALSE),0)</f>
        <v>1481.7272727272727</v>
      </c>
      <c r="N40" s="3">
        <f>IFERROR(VLOOKUP(A40,Hoja2!$A$2:$C$264,3,FALSE),0)</f>
        <v>8411.25</v>
      </c>
      <c r="O40" s="4">
        <v>0.67120000000000013</v>
      </c>
    </row>
    <row r="41" spans="1:15" x14ac:dyDescent="0.25">
      <c r="A41">
        <v>136</v>
      </c>
      <c r="B41" t="s">
        <v>157</v>
      </c>
      <c r="C41" t="s">
        <v>68</v>
      </c>
      <c r="D41" t="s">
        <v>18</v>
      </c>
      <c r="E41" t="s">
        <v>18</v>
      </c>
      <c r="F41" t="s">
        <v>140</v>
      </c>
      <c r="G41" t="s">
        <v>158</v>
      </c>
      <c r="H41" t="s">
        <v>159</v>
      </c>
      <c r="I41" t="s">
        <v>15</v>
      </c>
      <c r="J41">
        <v>4360.333333333333</v>
      </c>
      <c r="K41" s="3">
        <v>1</v>
      </c>
      <c r="L41" s="3">
        <v>1</v>
      </c>
      <c r="M41" s="3">
        <f>IFERROR(VLOOKUP(A41,Hoja2!$A$2:$C$264,2,FALSE),0)</f>
        <v>693.11111111111109</v>
      </c>
      <c r="N41" s="3">
        <f>IFERROR(VLOOKUP(A41,Hoja2!$A$2:$C$264,3,FALSE),0)</f>
        <v>4260</v>
      </c>
      <c r="O41" s="4">
        <v>0.79523333333333335</v>
      </c>
    </row>
    <row r="42" spans="1:15" x14ac:dyDescent="0.25">
      <c r="A42">
        <v>137</v>
      </c>
      <c r="B42" t="s">
        <v>160</v>
      </c>
      <c r="C42" t="s">
        <v>36</v>
      </c>
      <c r="D42" t="s">
        <v>18</v>
      </c>
      <c r="E42" t="s">
        <v>18</v>
      </c>
      <c r="F42" t="s">
        <v>116</v>
      </c>
      <c r="G42" t="s">
        <v>161</v>
      </c>
      <c r="H42" t="s">
        <v>162</v>
      </c>
      <c r="I42" t="s">
        <v>15</v>
      </c>
      <c r="J42">
        <v>3637</v>
      </c>
      <c r="K42" s="3">
        <v>2</v>
      </c>
      <c r="L42" s="3">
        <v>1</v>
      </c>
      <c r="M42" s="3">
        <f>IFERROR(VLOOKUP(A42,Hoja2!$A$2:$C$264,2,FALSE),0)</f>
        <v>1344.375</v>
      </c>
      <c r="N42" s="3">
        <f>IFERROR(VLOOKUP(A42,Hoja2!$A$2:$C$264,3,FALSE),0)</f>
        <v>5794.25</v>
      </c>
      <c r="O42" s="4">
        <v>0.68086666666666673</v>
      </c>
    </row>
    <row r="43" spans="1:15" x14ac:dyDescent="0.25">
      <c r="A43">
        <v>138</v>
      </c>
      <c r="B43" t="s">
        <v>163</v>
      </c>
      <c r="C43" t="s">
        <v>17</v>
      </c>
      <c r="D43" t="s">
        <v>18</v>
      </c>
      <c r="E43" t="s">
        <v>18</v>
      </c>
      <c r="F43" t="s">
        <v>101</v>
      </c>
      <c r="G43" t="s">
        <v>164</v>
      </c>
      <c r="H43" t="s">
        <v>165</v>
      </c>
      <c r="I43" t="s">
        <v>15</v>
      </c>
      <c r="J43">
        <v>5802.333333333333</v>
      </c>
      <c r="K43" s="3">
        <v>2</v>
      </c>
      <c r="L43" s="3">
        <v>1</v>
      </c>
      <c r="M43" s="3">
        <f>IFERROR(VLOOKUP(A43,Hoja2!$A$2:$C$264,2,FALSE),0)</f>
        <v>782.4</v>
      </c>
      <c r="N43" s="3">
        <f>IFERROR(VLOOKUP(A43,Hoja2!$A$2:$C$264,3,FALSE),0)</f>
        <v>5673.75</v>
      </c>
      <c r="O43" s="4">
        <v>0.77103333333333335</v>
      </c>
    </row>
    <row r="44" spans="1:15" x14ac:dyDescent="0.25">
      <c r="A44">
        <v>139</v>
      </c>
      <c r="B44" t="s">
        <v>166</v>
      </c>
      <c r="C44" t="s">
        <v>56</v>
      </c>
      <c r="D44" t="s">
        <v>18</v>
      </c>
      <c r="E44" t="s">
        <v>18</v>
      </c>
      <c r="F44" t="s">
        <v>136</v>
      </c>
      <c r="G44" t="s">
        <v>167</v>
      </c>
      <c r="H44" t="s">
        <v>168</v>
      </c>
      <c r="I44" t="s">
        <v>49</v>
      </c>
      <c r="J44">
        <v>4793.666666666667</v>
      </c>
      <c r="K44" s="3">
        <v>2</v>
      </c>
      <c r="L44" s="3">
        <v>1</v>
      </c>
      <c r="M44" s="3">
        <f>IFERROR(VLOOKUP(A44,Hoja2!$A$2:$C$264,2,FALSE),0)</f>
        <v>1038.6666666666667</v>
      </c>
      <c r="N44" s="3">
        <f>IFERROR(VLOOKUP(A44,Hoja2!$A$2:$C$264,3,FALSE),0)</f>
        <v>5266.75</v>
      </c>
      <c r="O44" s="4">
        <v>0.79666666666666652</v>
      </c>
    </row>
    <row r="45" spans="1:15" x14ac:dyDescent="0.25">
      <c r="A45">
        <v>140</v>
      </c>
      <c r="B45" t="s">
        <v>52</v>
      </c>
      <c r="C45" t="s">
        <v>51</v>
      </c>
      <c r="D45" t="s">
        <v>18</v>
      </c>
      <c r="E45" t="s">
        <v>18</v>
      </c>
      <c r="F45" t="s">
        <v>52</v>
      </c>
      <c r="G45" t="s">
        <v>169</v>
      </c>
      <c r="H45" t="s">
        <v>170</v>
      </c>
      <c r="I45" t="s">
        <v>15</v>
      </c>
      <c r="J45">
        <v>4672.333333333333</v>
      </c>
      <c r="K45" s="3">
        <v>2</v>
      </c>
      <c r="L45" s="3">
        <v>2</v>
      </c>
      <c r="M45" s="3">
        <f>IFERROR(VLOOKUP(A45,Hoja2!$A$2:$C$264,2,FALSE),0)</f>
        <v>1072.1818181818182</v>
      </c>
      <c r="N45" s="3">
        <f>IFERROR(VLOOKUP(A45,Hoja2!$A$2:$C$264,3,FALSE),0)</f>
        <v>6474.25</v>
      </c>
      <c r="O45" s="4">
        <v>0.73376666666666657</v>
      </c>
    </row>
    <row r="46" spans="1:15" x14ac:dyDescent="0.25">
      <c r="A46">
        <v>141</v>
      </c>
      <c r="B46" t="s">
        <v>171</v>
      </c>
      <c r="C46" t="s">
        <v>60</v>
      </c>
      <c r="D46" t="s">
        <v>18</v>
      </c>
      <c r="E46" t="s">
        <v>18</v>
      </c>
      <c r="F46" t="s">
        <v>89</v>
      </c>
      <c r="G46" t="s">
        <v>172</v>
      </c>
      <c r="H46" t="s">
        <v>173</v>
      </c>
      <c r="I46" t="s">
        <v>15</v>
      </c>
      <c r="J46">
        <v>3336.3333333333335</v>
      </c>
      <c r="K46" s="3">
        <v>2</v>
      </c>
      <c r="L46" s="3">
        <v>1</v>
      </c>
      <c r="M46" s="3">
        <f>IFERROR(VLOOKUP(A46,Hoja2!$A$2:$C$264,2,FALSE),0)</f>
        <v>1218</v>
      </c>
      <c r="N46" s="3">
        <f>IFERROR(VLOOKUP(A46,Hoja2!$A$2:$C$264,3,FALSE),0)</f>
        <v>5387.75</v>
      </c>
      <c r="O46" s="4">
        <v>0.76833333333333342</v>
      </c>
    </row>
    <row r="47" spans="1:15" x14ac:dyDescent="0.25">
      <c r="A47">
        <v>354</v>
      </c>
      <c r="B47" t="s">
        <v>174</v>
      </c>
      <c r="C47" t="s">
        <v>101</v>
      </c>
      <c r="D47" t="s">
        <v>18</v>
      </c>
      <c r="E47" t="s">
        <v>18</v>
      </c>
      <c r="F47" t="s">
        <v>123</v>
      </c>
      <c r="G47" t="s">
        <v>175</v>
      </c>
      <c r="H47" t="s">
        <v>176</v>
      </c>
      <c r="I47" t="s">
        <v>114</v>
      </c>
      <c r="J47">
        <v>2878.6666666666665</v>
      </c>
      <c r="K47" s="3">
        <v>1</v>
      </c>
      <c r="L47" s="3">
        <v>1</v>
      </c>
      <c r="M47" s="3">
        <f>IFERROR(VLOOKUP(A47,Hoja2!$A$2:$C$264,2,FALSE),0)</f>
        <v>472.5</v>
      </c>
      <c r="N47" s="3">
        <f>IFERROR(VLOOKUP(A47,Hoja2!$A$2:$C$264,3,FALSE),0)</f>
        <v>3281.75</v>
      </c>
      <c r="O47" s="4">
        <v>0.69370000000000009</v>
      </c>
    </row>
    <row r="48" spans="1:15" x14ac:dyDescent="0.25">
      <c r="A48">
        <v>143</v>
      </c>
      <c r="B48" t="s">
        <v>177</v>
      </c>
      <c r="C48" t="s">
        <v>81</v>
      </c>
      <c r="D48" t="s">
        <v>18</v>
      </c>
      <c r="E48" t="s">
        <v>18</v>
      </c>
      <c r="F48" t="s">
        <v>97</v>
      </c>
      <c r="G48" t="s">
        <v>178</v>
      </c>
      <c r="H48" t="s">
        <v>179</v>
      </c>
      <c r="I48" t="s">
        <v>15</v>
      </c>
      <c r="J48">
        <v>3056</v>
      </c>
      <c r="K48" s="3">
        <v>1</v>
      </c>
      <c r="L48" s="3">
        <v>0</v>
      </c>
      <c r="M48" s="3">
        <f>IFERROR(VLOOKUP(A48,Hoja2!$A$2:$C$264,2,FALSE),0)</f>
        <v>1224.2857142857142</v>
      </c>
      <c r="N48" s="3">
        <f>IFERROR(VLOOKUP(A48,Hoja2!$A$2:$C$264,3,FALSE),0)</f>
        <v>4459.5</v>
      </c>
      <c r="O48" s="4">
        <v>0.92666666666666675</v>
      </c>
    </row>
    <row r="49" spans="1:15" x14ac:dyDescent="0.25">
      <c r="A49">
        <v>144</v>
      </c>
      <c r="B49" t="s">
        <v>180</v>
      </c>
      <c r="C49" t="s">
        <v>51</v>
      </c>
      <c r="D49" t="s">
        <v>18</v>
      </c>
      <c r="E49" t="s">
        <v>18</v>
      </c>
      <c r="F49" t="s">
        <v>85</v>
      </c>
      <c r="G49" t="s">
        <v>181</v>
      </c>
      <c r="H49" t="s">
        <v>182</v>
      </c>
      <c r="I49" t="s">
        <v>183</v>
      </c>
      <c r="J49">
        <v>7070.666666666667</v>
      </c>
      <c r="K49" s="3">
        <v>1</v>
      </c>
      <c r="L49" s="3">
        <v>1</v>
      </c>
      <c r="M49" s="3">
        <f>IFERROR(VLOOKUP(A49,Hoja2!$A$2:$C$264,2,FALSE),0)</f>
        <v>1002.6666666666666</v>
      </c>
      <c r="N49" s="3">
        <f>IFERROR(VLOOKUP(A49,Hoja2!$A$2:$C$264,3,FALSE),0)</f>
        <v>5772.5</v>
      </c>
      <c r="O49" s="4">
        <v>0.87033333333333329</v>
      </c>
    </row>
    <row r="50" spans="1:15" x14ac:dyDescent="0.25">
      <c r="A50">
        <v>145</v>
      </c>
      <c r="B50" t="s">
        <v>184</v>
      </c>
      <c r="C50" t="s">
        <v>68</v>
      </c>
      <c r="D50" t="s">
        <v>18</v>
      </c>
      <c r="E50" t="s">
        <v>18</v>
      </c>
      <c r="F50" t="s">
        <v>68</v>
      </c>
      <c r="G50" t="s">
        <v>185</v>
      </c>
      <c r="H50" t="s">
        <v>186</v>
      </c>
      <c r="I50" t="s">
        <v>15</v>
      </c>
      <c r="J50">
        <v>3159</v>
      </c>
      <c r="K50" s="3">
        <v>2</v>
      </c>
      <c r="L50" s="3">
        <v>0</v>
      </c>
      <c r="M50" s="3">
        <f>IFERROR(VLOOKUP(A50,Hoja2!$A$2:$C$264,2,FALSE),0)</f>
        <v>690</v>
      </c>
      <c r="N50" s="3">
        <f>IFERROR(VLOOKUP(A50,Hoja2!$A$2:$C$264,3,FALSE),0)</f>
        <v>3814.5</v>
      </c>
      <c r="O50" s="4">
        <v>0.77759999999999996</v>
      </c>
    </row>
    <row r="51" spans="1:15" x14ac:dyDescent="0.25">
      <c r="A51">
        <v>146</v>
      </c>
      <c r="B51" t="s">
        <v>187</v>
      </c>
      <c r="C51" t="s">
        <v>68</v>
      </c>
      <c r="D51" t="s">
        <v>18</v>
      </c>
      <c r="E51" t="s">
        <v>18</v>
      </c>
      <c r="F51" t="s">
        <v>140</v>
      </c>
      <c r="G51" t="s">
        <v>188</v>
      </c>
      <c r="H51" t="s">
        <v>189</v>
      </c>
      <c r="I51" t="s">
        <v>49</v>
      </c>
      <c r="J51">
        <v>4939</v>
      </c>
      <c r="K51" s="3">
        <v>2</v>
      </c>
      <c r="L51" s="3">
        <v>2</v>
      </c>
      <c r="M51" s="3">
        <f>IFERROR(VLOOKUP(A51,Hoja2!$A$2:$C$264,2,FALSE),0)</f>
        <v>1134.6363636363637</v>
      </c>
      <c r="N51" s="3">
        <f>IFERROR(VLOOKUP(A51,Hoja2!$A$2:$C$264,3,FALSE),0)</f>
        <v>6654.5</v>
      </c>
      <c r="O51" s="4">
        <v>0.42643333333333339</v>
      </c>
    </row>
    <row r="52" spans="1:15" x14ac:dyDescent="0.25">
      <c r="A52">
        <v>147</v>
      </c>
      <c r="B52" t="s">
        <v>190</v>
      </c>
      <c r="C52" t="s">
        <v>51</v>
      </c>
      <c r="D52" t="s">
        <v>18</v>
      </c>
      <c r="E52" t="s">
        <v>18</v>
      </c>
      <c r="F52" t="s">
        <v>18</v>
      </c>
      <c r="G52" t="s">
        <v>191</v>
      </c>
      <c r="H52" t="s">
        <v>192</v>
      </c>
      <c r="I52" t="s">
        <v>49</v>
      </c>
      <c r="J52">
        <v>5307.666666666667</v>
      </c>
      <c r="K52" s="3">
        <v>2</v>
      </c>
      <c r="L52" s="3">
        <v>1</v>
      </c>
      <c r="M52" s="3">
        <f>IFERROR(VLOOKUP(A52,Hoja2!$A$2:$C$264,2,FALSE),0)</f>
        <v>925.33333333333337</v>
      </c>
      <c r="N52" s="3">
        <f>IFERROR(VLOOKUP(A52,Hoja2!$A$2:$C$264,3,FALSE),0)</f>
        <v>6269.5</v>
      </c>
      <c r="O52" s="4">
        <v>0.81379999999999997</v>
      </c>
    </row>
    <row r="53" spans="1:15" x14ac:dyDescent="0.25">
      <c r="A53">
        <v>148</v>
      </c>
      <c r="B53" t="s">
        <v>193</v>
      </c>
      <c r="C53" t="s">
        <v>60</v>
      </c>
      <c r="D53" t="s">
        <v>18</v>
      </c>
      <c r="E53" t="s">
        <v>18</v>
      </c>
      <c r="F53" t="s">
        <v>106</v>
      </c>
      <c r="G53" t="s">
        <v>194</v>
      </c>
      <c r="H53" t="s">
        <v>195</v>
      </c>
      <c r="I53" t="s">
        <v>114</v>
      </c>
      <c r="J53">
        <v>3210</v>
      </c>
      <c r="K53" s="3">
        <v>2</v>
      </c>
      <c r="L53" s="3">
        <v>1</v>
      </c>
      <c r="M53" s="3">
        <f>IFERROR(VLOOKUP(A53,Hoja2!$A$2:$C$264,2,FALSE),0)</f>
        <v>843.9</v>
      </c>
      <c r="N53" s="3">
        <f>IFERROR(VLOOKUP(A53,Hoja2!$A$2:$C$264,3,FALSE),0)</f>
        <v>4737.5</v>
      </c>
      <c r="O53" s="4">
        <v>0.89736666666666665</v>
      </c>
    </row>
    <row r="54" spans="1:15" x14ac:dyDescent="0.25">
      <c r="A54">
        <v>150</v>
      </c>
      <c r="B54" t="s">
        <v>196</v>
      </c>
      <c r="C54" t="s">
        <v>17</v>
      </c>
      <c r="D54" t="s">
        <v>18</v>
      </c>
      <c r="E54" t="s">
        <v>18</v>
      </c>
      <c r="F54" t="s">
        <v>19</v>
      </c>
      <c r="G54" t="s">
        <v>197</v>
      </c>
      <c r="H54" t="s">
        <v>198</v>
      </c>
      <c r="I54" t="s">
        <v>15</v>
      </c>
      <c r="J54">
        <v>3620.3333333333335</v>
      </c>
      <c r="K54" s="3">
        <v>2</v>
      </c>
      <c r="L54" s="3">
        <v>1</v>
      </c>
      <c r="M54" s="3">
        <f>IFERROR(VLOOKUP(A54,Hoja2!$A$2:$C$264,2,FALSE),0)</f>
        <v>916.77777777777783</v>
      </c>
      <c r="N54" s="3">
        <f>IFERROR(VLOOKUP(A54,Hoja2!$A$2:$C$264,3,FALSE),0)</f>
        <v>4822.25</v>
      </c>
      <c r="O54" s="4">
        <v>0.92189999999999994</v>
      </c>
    </row>
    <row r="55" spans="1:15" x14ac:dyDescent="0.25">
      <c r="A55">
        <v>151</v>
      </c>
      <c r="B55" t="s">
        <v>199</v>
      </c>
      <c r="C55" t="s">
        <v>60</v>
      </c>
      <c r="D55" t="s">
        <v>18</v>
      </c>
      <c r="E55" t="s">
        <v>18</v>
      </c>
      <c r="F55" t="s">
        <v>72</v>
      </c>
      <c r="G55" t="s">
        <v>200</v>
      </c>
      <c r="H55" t="s">
        <v>201</v>
      </c>
      <c r="I55" t="s">
        <v>15</v>
      </c>
      <c r="J55">
        <v>3727</v>
      </c>
      <c r="K55" s="3">
        <v>1</v>
      </c>
      <c r="L55" s="3">
        <v>1</v>
      </c>
      <c r="M55" s="3">
        <f>IFERROR(VLOOKUP(A55,Hoja2!$A$2:$C$264,2,FALSE),0)</f>
        <v>870.9</v>
      </c>
      <c r="N55" s="3">
        <f>IFERROR(VLOOKUP(A55,Hoja2!$A$2:$C$264,3,FALSE),0)</f>
        <v>5060</v>
      </c>
      <c r="O55" s="4">
        <v>0.71509999999999996</v>
      </c>
    </row>
    <row r="56" spans="1:15" x14ac:dyDescent="0.25">
      <c r="A56">
        <v>152</v>
      </c>
      <c r="B56" t="s">
        <v>23</v>
      </c>
      <c r="C56" t="s">
        <v>17</v>
      </c>
      <c r="D56" t="s">
        <v>18</v>
      </c>
      <c r="E56" t="s">
        <v>18</v>
      </c>
      <c r="F56" t="s">
        <v>23</v>
      </c>
      <c r="G56" t="s">
        <v>202</v>
      </c>
      <c r="H56" t="s">
        <v>203</v>
      </c>
      <c r="I56" t="s">
        <v>15</v>
      </c>
      <c r="J56">
        <v>4345.666666666667</v>
      </c>
      <c r="K56" s="3">
        <v>2</v>
      </c>
      <c r="L56" s="3">
        <v>0</v>
      </c>
      <c r="M56" s="3">
        <f>IFERROR(VLOOKUP(A56,Hoja2!$A$2:$C$264,2,FALSE),0)</f>
        <v>700.1</v>
      </c>
      <c r="N56" s="3">
        <f>IFERROR(VLOOKUP(A56,Hoja2!$A$2:$C$264,3,FALSE),0)</f>
        <v>4264.25</v>
      </c>
      <c r="O56" s="4">
        <v>0.81363333333333332</v>
      </c>
    </row>
    <row r="57" spans="1:15" x14ac:dyDescent="0.25">
      <c r="A57">
        <v>153</v>
      </c>
      <c r="B57" t="s">
        <v>204</v>
      </c>
      <c r="C57" t="s">
        <v>51</v>
      </c>
      <c r="D57" t="s">
        <v>18</v>
      </c>
      <c r="E57" t="s">
        <v>18</v>
      </c>
      <c r="F57" t="s">
        <v>205</v>
      </c>
      <c r="G57" t="s">
        <v>206</v>
      </c>
      <c r="H57" t="s">
        <v>207</v>
      </c>
      <c r="I57" t="s">
        <v>49</v>
      </c>
      <c r="J57">
        <v>6169</v>
      </c>
      <c r="K57" s="3">
        <v>2</v>
      </c>
      <c r="L57" s="3">
        <v>2</v>
      </c>
      <c r="M57" s="3">
        <f>IFERROR(VLOOKUP(A57,Hoja2!$A$2:$C$264,2,FALSE),0)</f>
        <v>1206.6363636363637</v>
      </c>
      <c r="N57" s="3">
        <f>IFERROR(VLOOKUP(A57,Hoja2!$A$2:$C$264,3,FALSE),0)</f>
        <v>7451.75</v>
      </c>
      <c r="O57" s="4">
        <v>0.76743333333333341</v>
      </c>
    </row>
    <row r="58" spans="1:15" x14ac:dyDescent="0.25">
      <c r="A58">
        <v>387</v>
      </c>
      <c r="B58" t="s">
        <v>208</v>
      </c>
      <c r="C58" t="s">
        <v>101</v>
      </c>
      <c r="D58" t="s">
        <v>18</v>
      </c>
      <c r="E58" t="s">
        <v>18</v>
      </c>
      <c r="F58" t="s">
        <v>123</v>
      </c>
      <c r="G58" t="s">
        <v>209</v>
      </c>
      <c r="H58" t="s">
        <v>210</v>
      </c>
      <c r="I58" t="s">
        <v>49</v>
      </c>
      <c r="J58">
        <v>3962.6666666666665</v>
      </c>
      <c r="K58" s="3">
        <v>2</v>
      </c>
      <c r="L58" s="3">
        <v>0</v>
      </c>
      <c r="M58" s="3">
        <f>IFERROR(VLOOKUP(A58,Hoja2!$A$2:$C$264,2,FALSE),0)</f>
        <v>790.27272727272725</v>
      </c>
      <c r="N58" s="3">
        <f>IFERROR(VLOOKUP(A58,Hoja2!$A$2:$C$264,3,FALSE),0)</f>
        <v>5103.5</v>
      </c>
      <c r="O58" s="4">
        <v>0.82143333333333324</v>
      </c>
    </row>
    <row r="59" spans="1:15" x14ac:dyDescent="0.25">
      <c r="A59">
        <v>157</v>
      </c>
      <c r="B59" t="s">
        <v>211</v>
      </c>
      <c r="C59" t="s">
        <v>17</v>
      </c>
      <c r="D59" t="s">
        <v>18</v>
      </c>
      <c r="E59" t="s">
        <v>18</v>
      </c>
      <c r="F59" t="s">
        <v>19</v>
      </c>
      <c r="G59" t="s">
        <v>212</v>
      </c>
      <c r="H59" t="s">
        <v>213</v>
      </c>
      <c r="I59" t="s">
        <v>66</v>
      </c>
      <c r="J59">
        <v>7589.666666666667</v>
      </c>
      <c r="K59" s="3">
        <v>2</v>
      </c>
      <c r="L59" s="3">
        <v>2</v>
      </c>
      <c r="M59" s="3">
        <f>IFERROR(VLOOKUP(A59,Hoja2!$A$2:$C$264,2,FALSE),0)</f>
        <v>1278.090909090909</v>
      </c>
      <c r="N59" s="3">
        <f>IFERROR(VLOOKUP(A59,Hoja2!$A$2:$C$264,3,FALSE),0)</f>
        <v>7892</v>
      </c>
      <c r="O59" s="4">
        <v>0.79253333333333342</v>
      </c>
    </row>
    <row r="60" spans="1:15" x14ac:dyDescent="0.25">
      <c r="A60">
        <v>159</v>
      </c>
      <c r="B60" t="s">
        <v>214</v>
      </c>
      <c r="C60" t="s">
        <v>215</v>
      </c>
      <c r="D60" t="s">
        <v>215</v>
      </c>
      <c r="E60" t="s">
        <v>215</v>
      </c>
      <c r="F60" t="s">
        <v>214</v>
      </c>
      <c r="G60" t="s">
        <v>216</v>
      </c>
      <c r="H60" t="s">
        <v>217</v>
      </c>
      <c r="I60" t="s">
        <v>15</v>
      </c>
      <c r="J60">
        <v>2013.6666666666667</v>
      </c>
      <c r="K60" s="3">
        <v>2</v>
      </c>
      <c r="L60" s="3">
        <v>1</v>
      </c>
      <c r="M60" s="3">
        <f>IFERROR(VLOOKUP(A60,Hoja2!$A$2:$C$264,2,FALSE),0)</f>
        <v>507.125</v>
      </c>
      <c r="N60" s="3">
        <f>IFERROR(VLOOKUP(A60,Hoja2!$A$2:$C$264,3,FALSE),0)</f>
        <v>2413.5</v>
      </c>
      <c r="O60" s="4">
        <v>0.89593333333333336</v>
      </c>
    </row>
    <row r="61" spans="1:15" x14ac:dyDescent="0.25">
      <c r="A61">
        <v>160</v>
      </c>
      <c r="B61" t="s">
        <v>218</v>
      </c>
      <c r="C61" t="s">
        <v>17</v>
      </c>
      <c r="D61" t="s">
        <v>18</v>
      </c>
      <c r="E61" t="s">
        <v>18</v>
      </c>
      <c r="F61" t="s">
        <v>19</v>
      </c>
      <c r="G61" t="s">
        <v>219</v>
      </c>
      <c r="H61" t="s">
        <v>220</v>
      </c>
      <c r="I61" t="s">
        <v>15</v>
      </c>
      <c r="J61">
        <v>4886</v>
      </c>
      <c r="K61" s="3">
        <v>2</v>
      </c>
      <c r="L61" s="3">
        <v>1</v>
      </c>
      <c r="M61" s="3">
        <f>IFERROR(VLOOKUP(A61,Hoja2!$A$2:$C$264,2,FALSE),0)</f>
        <v>651.75</v>
      </c>
      <c r="N61" s="3">
        <f>IFERROR(VLOOKUP(A61,Hoja2!$A$2:$C$264,3,FALSE),0)</f>
        <v>5371</v>
      </c>
      <c r="O61" s="4">
        <v>0.80763333333333331</v>
      </c>
    </row>
    <row r="62" spans="1:15" x14ac:dyDescent="0.25">
      <c r="A62">
        <v>162</v>
      </c>
      <c r="B62" t="s">
        <v>221</v>
      </c>
      <c r="C62" t="s">
        <v>60</v>
      </c>
      <c r="D62" t="s">
        <v>18</v>
      </c>
      <c r="E62" t="s">
        <v>18</v>
      </c>
      <c r="F62" t="s">
        <v>59</v>
      </c>
      <c r="G62" t="s">
        <v>222</v>
      </c>
      <c r="H62" t="s">
        <v>223</v>
      </c>
      <c r="I62" t="s">
        <v>15</v>
      </c>
      <c r="J62">
        <v>3525</v>
      </c>
      <c r="K62" s="3">
        <v>2</v>
      </c>
      <c r="L62" s="3">
        <v>1</v>
      </c>
      <c r="M62" s="3">
        <f>IFERROR(VLOOKUP(A62,Hoja2!$A$2:$C$264,2,FALSE),0)</f>
        <v>698.6</v>
      </c>
      <c r="N62" s="3">
        <f>IFERROR(VLOOKUP(A62,Hoja2!$A$2:$C$264,3,FALSE),0)</f>
        <v>4372.25</v>
      </c>
      <c r="O62" s="4">
        <v>0.8918666666666667</v>
      </c>
    </row>
    <row r="63" spans="1:15" x14ac:dyDescent="0.25">
      <c r="A63">
        <v>163</v>
      </c>
      <c r="B63" t="s">
        <v>224</v>
      </c>
      <c r="C63" t="s">
        <v>51</v>
      </c>
      <c r="D63" t="s">
        <v>18</v>
      </c>
      <c r="E63" t="s">
        <v>18</v>
      </c>
      <c r="F63" t="s">
        <v>85</v>
      </c>
      <c r="G63" t="s">
        <v>225</v>
      </c>
      <c r="H63" t="s">
        <v>226</v>
      </c>
      <c r="I63" t="s">
        <v>15</v>
      </c>
      <c r="J63">
        <v>3958</v>
      </c>
      <c r="K63" s="3">
        <v>1</v>
      </c>
      <c r="L63" s="3">
        <v>1</v>
      </c>
      <c r="M63" s="3">
        <f>IFERROR(VLOOKUP(A63,Hoja2!$A$2:$C$264,2,FALSE),0)</f>
        <v>656.55555555555554</v>
      </c>
      <c r="N63" s="3">
        <f>IFERROR(VLOOKUP(A63,Hoja2!$A$2:$C$264,3,FALSE),0)</f>
        <v>4247</v>
      </c>
      <c r="O63" s="4">
        <v>0.86719999999999997</v>
      </c>
    </row>
    <row r="64" spans="1:15" x14ac:dyDescent="0.25">
      <c r="A64">
        <v>164</v>
      </c>
      <c r="B64" t="s">
        <v>227</v>
      </c>
      <c r="C64" t="s">
        <v>56</v>
      </c>
      <c r="D64" t="s">
        <v>18</v>
      </c>
      <c r="E64" t="s">
        <v>18</v>
      </c>
      <c r="F64" t="s">
        <v>75</v>
      </c>
      <c r="G64" t="s">
        <v>228</v>
      </c>
      <c r="H64" t="s">
        <v>229</v>
      </c>
      <c r="I64" t="s">
        <v>15</v>
      </c>
      <c r="J64">
        <v>4232.666666666667</v>
      </c>
      <c r="K64" s="3">
        <v>1</v>
      </c>
      <c r="L64" s="3">
        <v>2</v>
      </c>
      <c r="M64" s="3">
        <f>IFERROR(VLOOKUP(A64,Hoja2!$A$2:$C$264,2,FALSE),0)</f>
        <v>797.2</v>
      </c>
      <c r="N64" s="3">
        <f>IFERROR(VLOOKUP(A64,Hoja2!$A$2:$C$264,3,FALSE),0)</f>
        <v>4576.5</v>
      </c>
      <c r="O64" s="4">
        <v>0.81936666666666669</v>
      </c>
    </row>
    <row r="65" spans="1:15" x14ac:dyDescent="0.25">
      <c r="A65">
        <v>165</v>
      </c>
      <c r="B65" t="s">
        <v>230</v>
      </c>
      <c r="C65" t="s">
        <v>60</v>
      </c>
      <c r="D65" t="s">
        <v>18</v>
      </c>
      <c r="E65" t="s">
        <v>18</v>
      </c>
      <c r="F65" t="s">
        <v>59</v>
      </c>
      <c r="G65" t="s">
        <v>231</v>
      </c>
      <c r="H65" t="s">
        <v>232</v>
      </c>
      <c r="I65" t="s">
        <v>114</v>
      </c>
      <c r="J65">
        <v>1465.6666666666667</v>
      </c>
      <c r="K65" s="3">
        <v>1</v>
      </c>
      <c r="L65" s="3">
        <v>0</v>
      </c>
      <c r="M65" s="3">
        <f>IFERROR(VLOOKUP(A65,Hoja2!$A$2:$C$264,2,FALSE),0)</f>
        <v>0</v>
      </c>
      <c r="N65" s="3">
        <f>IFERROR(VLOOKUP(A65,Hoja2!$A$2:$C$264,3,FALSE),0)</f>
        <v>0</v>
      </c>
      <c r="O65" s="4">
        <v>0</v>
      </c>
    </row>
    <row r="66" spans="1:15" x14ac:dyDescent="0.25">
      <c r="A66">
        <v>166</v>
      </c>
      <c r="B66" t="s">
        <v>233</v>
      </c>
      <c r="C66" t="s">
        <v>60</v>
      </c>
      <c r="D66" t="s">
        <v>18</v>
      </c>
      <c r="E66" t="s">
        <v>18</v>
      </c>
      <c r="F66" t="s">
        <v>59</v>
      </c>
      <c r="G66" t="s">
        <v>234</v>
      </c>
      <c r="H66" t="s">
        <v>235</v>
      </c>
      <c r="I66" t="s">
        <v>15</v>
      </c>
      <c r="J66">
        <v>4131</v>
      </c>
      <c r="K66" s="3">
        <v>2</v>
      </c>
      <c r="L66" s="3">
        <v>1</v>
      </c>
      <c r="M66" s="3">
        <f>IFERROR(VLOOKUP(A66,Hoja2!$A$2:$C$264,2,FALSE),0)</f>
        <v>731.3</v>
      </c>
      <c r="N66" s="3">
        <f>IFERROR(VLOOKUP(A66,Hoja2!$A$2:$C$264,3,FALSE),0)</f>
        <v>4662.75</v>
      </c>
      <c r="O66" s="4">
        <v>0.8239333333333333</v>
      </c>
    </row>
    <row r="67" spans="1:15" x14ac:dyDescent="0.25">
      <c r="A67">
        <v>616</v>
      </c>
      <c r="B67" t="s">
        <v>237</v>
      </c>
      <c r="C67" t="s">
        <v>101</v>
      </c>
      <c r="D67" t="s">
        <v>18</v>
      </c>
      <c r="E67" t="s">
        <v>18</v>
      </c>
      <c r="F67" t="s">
        <v>101</v>
      </c>
      <c r="G67" t="s">
        <v>238</v>
      </c>
      <c r="H67" t="s">
        <v>239</v>
      </c>
      <c r="I67" t="s">
        <v>15</v>
      </c>
      <c r="J67">
        <v>3235</v>
      </c>
      <c r="K67" s="3">
        <v>2</v>
      </c>
      <c r="L67" s="3">
        <v>1</v>
      </c>
      <c r="M67" s="3">
        <f>IFERROR(VLOOKUP(A67,Hoja2!$A$2:$C$264,2,FALSE),0)</f>
        <v>828.09090909090912</v>
      </c>
      <c r="N67" s="3">
        <f>IFERROR(VLOOKUP(A67,Hoja2!$A$2:$C$264,3,FALSE),0)</f>
        <v>5027.75</v>
      </c>
      <c r="O67" s="4">
        <v>0.80419999999999991</v>
      </c>
    </row>
    <row r="68" spans="1:15" x14ac:dyDescent="0.25">
      <c r="A68">
        <v>170</v>
      </c>
      <c r="B68" t="s">
        <v>240</v>
      </c>
      <c r="C68" t="s">
        <v>60</v>
      </c>
      <c r="D68" t="s">
        <v>18</v>
      </c>
      <c r="E68" t="s">
        <v>18</v>
      </c>
      <c r="F68" t="s">
        <v>106</v>
      </c>
      <c r="G68" t="s">
        <v>241</v>
      </c>
      <c r="H68" t="s">
        <v>242</v>
      </c>
      <c r="I68" t="s">
        <v>114</v>
      </c>
      <c r="J68">
        <v>2149.6666666666665</v>
      </c>
      <c r="K68" s="3">
        <v>1</v>
      </c>
      <c r="L68" s="3">
        <v>1</v>
      </c>
      <c r="M68" s="3">
        <f>IFERROR(VLOOKUP(A68,Hoja2!$A$2:$C$264,2,FALSE),0)</f>
        <v>454.3</v>
      </c>
      <c r="N68" s="3">
        <f>IFERROR(VLOOKUP(A68,Hoja2!$A$2:$C$264,3,FALSE),0)</f>
        <v>2649.5</v>
      </c>
      <c r="O68" s="4">
        <v>0.92203333333333326</v>
      </c>
    </row>
    <row r="69" spans="1:15" x14ac:dyDescent="0.25">
      <c r="A69">
        <v>172</v>
      </c>
      <c r="B69" t="s">
        <v>243</v>
      </c>
      <c r="C69" t="s">
        <v>81</v>
      </c>
      <c r="D69" t="s">
        <v>18</v>
      </c>
      <c r="E69" t="s">
        <v>18</v>
      </c>
      <c r="F69" t="s">
        <v>89</v>
      </c>
      <c r="G69" t="s">
        <v>244</v>
      </c>
      <c r="H69" t="s">
        <v>245</v>
      </c>
      <c r="I69" t="s">
        <v>15</v>
      </c>
      <c r="J69">
        <v>3210</v>
      </c>
      <c r="K69" s="3">
        <v>1</v>
      </c>
      <c r="L69" s="3">
        <v>0</v>
      </c>
      <c r="M69" s="3">
        <f>IFERROR(VLOOKUP(A69,Hoja2!$A$2:$C$264,2,FALSE),0)</f>
        <v>621.79999999999995</v>
      </c>
      <c r="N69" s="3">
        <f>IFERROR(VLOOKUP(A69,Hoja2!$A$2:$C$264,3,FALSE),0)</f>
        <v>3414.75</v>
      </c>
      <c r="O69" s="4">
        <v>0.82556666666666667</v>
      </c>
    </row>
    <row r="70" spans="1:15" x14ac:dyDescent="0.25">
      <c r="A70">
        <v>174</v>
      </c>
      <c r="B70" t="s">
        <v>246</v>
      </c>
      <c r="C70" t="s">
        <v>81</v>
      </c>
      <c r="D70" t="s">
        <v>18</v>
      </c>
      <c r="E70" t="s">
        <v>18</v>
      </c>
      <c r="F70" t="s">
        <v>247</v>
      </c>
      <c r="G70" t="s">
        <v>248</v>
      </c>
      <c r="H70" t="s">
        <v>249</v>
      </c>
      <c r="I70" t="s">
        <v>183</v>
      </c>
      <c r="J70">
        <v>6933.666666666667</v>
      </c>
      <c r="K70" s="3">
        <v>4</v>
      </c>
      <c r="L70" s="3">
        <v>1</v>
      </c>
      <c r="M70" s="3">
        <f>IFERROR(VLOOKUP(A70,Hoja2!$A$2:$C$264,2,FALSE),0)</f>
        <v>1878.5</v>
      </c>
      <c r="N70" s="3">
        <f>IFERROR(VLOOKUP(A70,Hoja2!$A$2:$C$264,3,FALSE),0)</f>
        <v>8971.75</v>
      </c>
      <c r="O70" s="4">
        <v>0.60693333333333344</v>
      </c>
    </row>
    <row r="71" spans="1:15" x14ac:dyDescent="0.25">
      <c r="A71">
        <v>175</v>
      </c>
      <c r="B71" t="s">
        <v>250</v>
      </c>
      <c r="C71" t="s">
        <v>56</v>
      </c>
      <c r="D71" t="s">
        <v>18</v>
      </c>
      <c r="E71" t="s">
        <v>18</v>
      </c>
      <c r="F71" t="s">
        <v>18</v>
      </c>
      <c r="G71" t="s">
        <v>251</v>
      </c>
      <c r="H71" t="s">
        <v>252</v>
      </c>
      <c r="I71" t="s">
        <v>49</v>
      </c>
      <c r="J71">
        <v>7021.333333333333</v>
      </c>
      <c r="K71" s="3">
        <v>2</v>
      </c>
      <c r="L71" s="3">
        <v>3</v>
      </c>
      <c r="M71" s="3">
        <f>IFERROR(VLOOKUP(A71,Hoja2!$A$2:$C$264,2,FALSE),0)</f>
        <v>1768.9</v>
      </c>
      <c r="N71" s="3">
        <f>IFERROR(VLOOKUP(A71,Hoja2!$A$2:$C$264,3,FALSE),0)</f>
        <v>8905.5</v>
      </c>
      <c r="O71" s="4">
        <v>0.73919999999999997</v>
      </c>
    </row>
    <row r="72" spans="1:15" x14ac:dyDescent="0.25">
      <c r="A72">
        <v>176</v>
      </c>
      <c r="B72" t="s">
        <v>253</v>
      </c>
      <c r="C72" t="s">
        <v>81</v>
      </c>
      <c r="D72" t="s">
        <v>18</v>
      </c>
      <c r="E72" t="s">
        <v>18</v>
      </c>
      <c r="F72" t="s">
        <v>80</v>
      </c>
      <c r="G72" t="s">
        <v>254</v>
      </c>
      <c r="H72" t="s">
        <v>255</v>
      </c>
      <c r="I72" t="s">
        <v>15</v>
      </c>
      <c r="J72">
        <v>2290</v>
      </c>
      <c r="K72" s="3">
        <v>2</v>
      </c>
      <c r="L72" s="3">
        <v>0</v>
      </c>
      <c r="M72" s="3">
        <f>IFERROR(VLOOKUP(A72,Hoja2!$A$2:$C$264,2,FALSE),0)</f>
        <v>717.25</v>
      </c>
      <c r="N72" s="3">
        <f>IFERROR(VLOOKUP(A72,Hoja2!$A$2:$C$264,3,FALSE),0)</f>
        <v>3068</v>
      </c>
      <c r="O72" s="4">
        <v>0.88390000000000002</v>
      </c>
    </row>
    <row r="73" spans="1:15" x14ac:dyDescent="0.25">
      <c r="A73">
        <v>177</v>
      </c>
      <c r="B73" t="s">
        <v>256</v>
      </c>
      <c r="C73" t="s">
        <v>56</v>
      </c>
      <c r="D73" t="s">
        <v>18</v>
      </c>
      <c r="E73" t="s">
        <v>18</v>
      </c>
      <c r="F73" t="s">
        <v>257</v>
      </c>
      <c r="G73" t="s">
        <v>258</v>
      </c>
      <c r="H73" t="s">
        <v>259</v>
      </c>
      <c r="I73" t="s">
        <v>49</v>
      </c>
      <c r="J73">
        <v>3365.6666666666665</v>
      </c>
      <c r="K73" s="3">
        <v>1</v>
      </c>
      <c r="L73" s="3">
        <v>1</v>
      </c>
      <c r="M73" s="3">
        <f>IFERROR(VLOOKUP(A73,Hoja2!$A$2:$C$264,2,FALSE),0)</f>
        <v>1036.2</v>
      </c>
      <c r="N73" s="3">
        <f>IFERROR(VLOOKUP(A73,Hoja2!$A$2:$C$264,3,FALSE),0)</f>
        <v>5598.5</v>
      </c>
      <c r="O73" s="4">
        <v>0.75746666666666673</v>
      </c>
    </row>
    <row r="74" spans="1:15" x14ac:dyDescent="0.25">
      <c r="A74">
        <v>178</v>
      </c>
      <c r="B74" t="s">
        <v>260</v>
      </c>
      <c r="C74" t="s">
        <v>68</v>
      </c>
      <c r="D74" t="s">
        <v>18</v>
      </c>
      <c r="E74" t="s">
        <v>18</v>
      </c>
      <c r="F74" t="s">
        <v>68</v>
      </c>
      <c r="G74" t="s">
        <v>261</v>
      </c>
      <c r="H74" t="s">
        <v>262</v>
      </c>
      <c r="I74" t="s">
        <v>15</v>
      </c>
      <c r="J74">
        <v>4544</v>
      </c>
      <c r="K74" s="3">
        <v>2</v>
      </c>
      <c r="L74" s="3">
        <v>1</v>
      </c>
      <c r="M74" s="3">
        <f>IFERROR(VLOOKUP(A74,Hoja2!$A$2:$C$264,2,FALSE),0)</f>
        <v>589.27272727272725</v>
      </c>
      <c r="N74" s="3">
        <f>IFERROR(VLOOKUP(A74,Hoja2!$A$2:$C$264,3,FALSE),0)</f>
        <v>4277</v>
      </c>
      <c r="O74" s="4">
        <v>0.76270000000000004</v>
      </c>
    </row>
    <row r="75" spans="1:15" x14ac:dyDescent="0.25">
      <c r="A75">
        <v>716</v>
      </c>
      <c r="B75" t="s">
        <v>263</v>
      </c>
      <c r="C75" t="s">
        <v>101</v>
      </c>
      <c r="D75" t="s">
        <v>18</v>
      </c>
      <c r="E75" t="s">
        <v>18</v>
      </c>
      <c r="F75" t="s">
        <v>101</v>
      </c>
      <c r="G75" t="s">
        <v>264</v>
      </c>
      <c r="H75" t="s">
        <v>265</v>
      </c>
      <c r="I75" t="s">
        <v>15</v>
      </c>
      <c r="J75">
        <v>2672.6666666666665</v>
      </c>
      <c r="K75" s="3">
        <v>1</v>
      </c>
      <c r="L75" s="3">
        <v>0</v>
      </c>
      <c r="M75" s="3">
        <f>IFERROR(VLOOKUP(A75,Hoja2!$A$2:$C$264,2,FALSE),0)</f>
        <v>437.6</v>
      </c>
      <c r="N75" s="3">
        <f>IFERROR(VLOOKUP(A75,Hoja2!$A$2:$C$264,3,FALSE),0)</f>
        <v>2787</v>
      </c>
      <c r="O75" s="4">
        <v>0.89753333333333341</v>
      </c>
    </row>
    <row r="76" spans="1:15" x14ac:dyDescent="0.25">
      <c r="A76">
        <v>939</v>
      </c>
      <c r="B76" t="s">
        <v>266</v>
      </c>
      <c r="C76" t="s">
        <v>101</v>
      </c>
      <c r="D76" t="s">
        <v>18</v>
      </c>
      <c r="E76" t="s">
        <v>18</v>
      </c>
      <c r="F76" t="s">
        <v>101</v>
      </c>
      <c r="G76" t="s">
        <v>267</v>
      </c>
      <c r="H76" t="s">
        <v>268</v>
      </c>
      <c r="I76" t="s">
        <v>15</v>
      </c>
      <c r="J76">
        <v>4063</v>
      </c>
      <c r="K76" s="3">
        <v>2</v>
      </c>
      <c r="L76" s="3">
        <v>1</v>
      </c>
      <c r="M76" s="3">
        <f>IFERROR(VLOOKUP(A76,Hoja2!$A$2:$C$264,2,FALSE),0)</f>
        <v>819.9</v>
      </c>
      <c r="N76" s="3">
        <f>IFERROR(VLOOKUP(A76,Hoja2!$A$2:$C$264,3,FALSE),0)</f>
        <v>4895</v>
      </c>
      <c r="O76" s="4">
        <v>0.75626666666666675</v>
      </c>
    </row>
    <row r="77" spans="1:15" x14ac:dyDescent="0.25">
      <c r="A77">
        <v>183</v>
      </c>
      <c r="B77" t="s">
        <v>269</v>
      </c>
      <c r="C77" t="s">
        <v>68</v>
      </c>
      <c r="D77" t="s">
        <v>18</v>
      </c>
      <c r="E77" t="s">
        <v>18</v>
      </c>
      <c r="F77" t="s">
        <v>269</v>
      </c>
      <c r="G77" t="s">
        <v>270</v>
      </c>
      <c r="H77" t="s">
        <v>271</v>
      </c>
      <c r="I77" t="s">
        <v>66</v>
      </c>
      <c r="J77">
        <v>5387</v>
      </c>
      <c r="K77" s="3">
        <v>3</v>
      </c>
      <c r="L77" s="3">
        <v>2</v>
      </c>
      <c r="M77" s="3">
        <f>IFERROR(VLOOKUP(A77,Hoja2!$A$2:$C$264,2,FALSE),0)</f>
        <v>1027.5</v>
      </c>
      <c r="N77" s="3">
        <f>IFERROR(VLOOKUP(A77,Hoja2!$A$2:$C$264,3,FALSE),0)</f>
        <v>5244.75</v>
      </c>
      <c r="O77" s="4">
        <v>0.83173333333333332</v>
      </c>
    </row>
    <row r="78" spans="1:15" x14ac:dyDescent="0.25">
      <c r="A78">
        <v>184</v>
      </c>
      <c r="B78" t="s">
        <v>272</v>
      </c>
      <c r="C78" t="s">
        <v>51</v>
      </c>
      <c r="D78" t="s">
        <v>18</v>
      </c>
      <c r="E78" t="s">
        <v>18</v>
      </c>
      <c r="F78" t="s">
        <v>52</v>
      </c>
      <c r="G78" t="s">
        <v>273</v>
      </c>
      <c r="H78" t="s">
        <v>274</v>
      </c>
      <c r="I78" t="s">
        <v>66</v>
      </c>
      <c r="J78">
        <v>6407.333333333333</v>
      </c>
      <c r="K78" s="3">
        <v>2</v>
      </c>
      <c r="L78" s="3">
        <v>2</v>
      </c>
      <c r="M78" s="3">
        <f>IFERROR(VLOOKUP(A78,Hoja2!$A$2:$C$264,2,FALSE),0)</f>
        <v>1259.4000000000001</v>
      </c>
      <c r="N78" s="3">
        <f>IFERROR(VLOOKUP(A78,Hoja2!$A$2:$C$264,3,FALSE),0)</f>
        <v>7102.5</v>
      </c>
      <c r="O78" s="4">
        <v>0.69826666666666659</v>
      </c>
    </row>
    <row r="79" spans="1:15" x14ac:dyDescent="0.25">
      <c r="A79">
        <v>186</v>
      </c>
      <c r="B79" t="s">
        <v>275</v>
      </c>
      <c r="C79" t="s">
        <v>17</v>
      </c>
      <c r="D79" t="s">
        <v>18</v>
      </c>
      <c r="E79" t="s">
        <v>18</v>
      </c>
      <c r="F79" t="s">
        <v>23</v>
      </c>
      <c r="G79" t="s">
        <v>276</v>
      </c>
      <c r="H79" t="s">
        <v>277</v>
      </c>
      <c r="I79" t="s">
        <v>66</v>
      </c>
      <c r="J79">
        <v>7517</v>
      </c>
      <c r="K79" s="3">
        <v>3</v>
      </c>
      <c r="L79" s="3">
        <v>2</v>
      </c>
      <c r="M79" s="3">
        <f>IFERROR(VLOOKUP(A79,Hoja2!$A$2:$C$264,2,FALSE),0)</f>
        <v>1703.909090909091</v>
      </c>
      <c r="N79" s="3">
        <f>IFERROR(VLOOKUP(A79,Hoja2!$A$2:$C$264,3,FALSE),0)</f>
        <v>9182.25</v>
      </c>
      <c r="O79" s="4">
        <v>0.81089999999999984</v>
      </c>
    </row>
    <row r="80" spans="1:15" x14ac:dyDescent="0.25">
      <c r="A80">
        <v>119</v>
      </c>
      <c r="B80" t="s">
        <v>278</v>
      </c>
      <c r="C80" t="s">
        <v>101</v>
      </c>
      <c r="D80" t="s">
        <v>18</v>
      </c>
      <c r="E80" t="s">
        <v>18</v>
      </c>
      <c r="F80" t="s">
        <v>101</v>
      </c>
      <c r="G80" t="s">
        <v>279</v>
      </c>
      <c r="H80" t="s">
        <v>280</v>
      </c>
      <c r="I80" t="s">
        <v>15</v>
      </c>
      <c r="J80">
        <v>4005.6666666666665</v>
      </c>
      <c r="K80" s="3">
        <v>2</v>
      </c>
      <c r="L80" s="3">
        <v>1</v>
      </c>
      <c r="M80" s="3">
        <f>IFERROR(VLOOKUP(A80,Hoja2!$A$2:$C$264,2,FALSE),0)</f>
        <v>713.77777777777783</v>
      </c>
      <c r="N80" s="3">
        <f>IFERROR(VLOOKUP(A80,Hoja2!$A$2:$C$264,3,FALSE),0)</f>
        <v>4446</v>
      </c>
      <c r="O80" s="4">
        <v>0.69343333333333346</v>
      </c>
    </row>
    <row r="81" spans="1:15" x14ac:dyDescent="0.25">
      <c r="A81">
        <v>189</v>
      </c>
      <c r="B81" t="s">
        <v>281</v>
      </c>
      <c r="C81" t="s">
        <v>51</v>
      </c>
      <c r="D81" t="s">
        <v>18</v>
      </c>
      <c r="E81" t="s">
        <v>18</v>
      </c>
      <c r="F81" t="s">
        <v>123</v>
      </c>
      <c r="G81" t="s">
        <v>282</v>
      </c>
      <c r="H81" t="s">
        <v>283</v>
      </c>
      <c r="I81" t="s">
        <v>15</v>
      </c>
      <c r="J81">
        <v>4675.666666666667</v>
      </c>
      <c r="K81" s="3">
        <v>1</v>
      </c>
      <c r="L81" s="3">
        <v>0</v>
      </c>
      <c r="M81" s="3">
        <f>IFERROR(VLOOKUP(A81,Hoja2!$A$2:$C$264,2,FALSE),0)</f>
        <v>632.72727272727275</v>
      </c>
      <c r="N81" s="3">
        <f>IFERROR(VLOOKUP(A81,Hoja2!$A$2:$C$264,3,FALSE),0)</f>
        <v>4799</v>
      </c>
      <c r="O81" s="4">
        <v>0.66110000000000002</v>
      </c>
    </row>
    <row r="82" spans="1:15" x14ac:dyDescent="0.25">
      <c r="A82">
        <v>190</v>
      </c>
      <c r="B82" t="s">
        <v>284</v>
      </c>
      <c r="C82" t="s">
        <v>60</v>
      </c>
      <c r="D82" t="s">
        <v>18</v>
      </c>
      <c r="E82" t="s">
        <v>18</v>
      </c>
      <c r="F82" t="s">
        <v>72</v>
      </c>
      <c r="G82" t="s">
        <v>285</v>
      </c>
      <c r="H82" t="s">
        <v>286</v>
      </c>
      <c r="I82" t="s">
        <v>183</v>
      </c>
      <c r="J82">
        <v>8158.666666666667</v>
      </c>
      <c r="K82" s="3">
        <v>3</v>
      </c>
      <c r="L82" s="3">
        <v>2</v>
      </c>
      <c r="M82" s="3">
        <f>IFERROR(VLOOKUP(A82,Hoja2!$A$2:$C$264,2,FALSE),0)</f>
        <v>1629.2727272727273</v>
      </c>
      <c r="N82" s="3">
        <f>IFERROR(VLOOKUP(A82,Hoja2!$A$2:$C$264,3,FALSE),0)</f>
        <v>9118.75</v>
      </c>
      <c r="O82" s="4">
        <v>0.79243333333333332</v>
      </c>
    </row>
    <row r="83" spans="1:15" x14ac:dyDescent="0.25">
      <c r="A83">
        <v>194</v>
      </c>
      <c r="B83" t="s">
        <v>287</v>
      </c>
      <c r="C83" t="s">
        <v>17</v>
      </c>
      <c r="D83" t="s">
        <v>18</v>
      </c>
      <c r="E83" t="s">
        <v>18</v>
      </c>
      <c r="F83" t="s">
        <v>19</v>
      </c>
      <c r="G83" t="s">
        <v>288</v>
      </c>
      <c r="H83" t="s">
        <v>289</v>
      </c>
      <c r="I83" t="s">
        <v>15</v>
      </c>
      <c r="J83">
        <v>2253.6666666666665</v>
      </c>
      <c r="K83" s="3">
        <v>1</v>
      </c>
      <c r="L83" s="3">
        <v>0</v>
      </c>
      <c r="M83" s="3">
        <f>IFERROR(VLOOKUP(A83,Hoja2!$A$2:$C$264,2,FALSE),0)</f>
        <v>332.25</v>
      </c>
      <c r="N83" s="3">
        <f>IFERROR(VLOOKUP(A83,Hoja2!$A$2:$C$264,3,FALSE),0)</f>
        <v>2434.75</v>
      </c>
      <c r="O83" s="4">
        <v>0.9002</v>
      </c>
    </row>
    <row r="84" spans="1:15" x14ac:dyDescent="0.25">
      <c r="A84">
        <v>195</v>
      </c>
      <c r="B84" t="s">
        <v>290</v>
      </c>
      <c r="C84" t="s">
        <v>17</v>
      </c>
      <c r="D84" t="s">
        <v>18</v>
      </c>
      <c r="E84" t="s">
        <v>18</v>
      </c>
      <c r="F84" t="s">
        <v>23</v>
      </c>
      <c r="G84" t="s">
        <v>291</v>
      </c>
      <c r="H84" t="s">
        <v>292</v>
      </c>
      <c r="I84" t="s">
        <v>15</v>
      </c>
      <c r="J84">
        <v>2347.3333333333335</v>
      </c>
      <c r="K84" s="3">
        <v>1</v>
      </c>
      <c r="L84" s="3">
        <v>0</v>
      </c>
      <c r="M84" s="3">
        <f>IFERROR(VLOOKUP(A84,Hoja2!$A$2:$C$264,2,FALSE),0)</f>
        <v>375.22222222222223</v>
      </c>
      <c r="N84" s="3">
        <f>IFERROR(VLOOKUP(A84,Hoja2!$A$2:$C$264,3,FALSE),0)</f>
        <v>2551.25</v>
      </c>
      <c r="O84" s="4">
        <v>0.92543333333333333</v>
      </c>
    </row>
    <row r="85" spans="1:15" x14ac:dyDescent="0.25">
      <c r="A85">
        <v>196</v>
      </c>
      <c r="B85" t="s">
        <v>89</v>
      </c>
      <c r="C85" t="s">
        <v>60</v>
      </c>
      <c r="D85" t="s">
        <v>18</v>
      </c>
      <c r="E85" t="s">
        <v>18</v>
      </c>
      <c r="F85" t="s">
        <v>89</v>
      </c>
      <c r="G85" t="s">
        <v>293</v>
      </c>
      <c r="H85" t="s">
        <v>294</v>
      </c>
      <c r="I85" t="s">
        <v>15</v>
      </c>
      <c r="J85">
        <v>2264.6666666666665</v>
      </c>
      <c r="K85" s="3">
        <v>1</v>
      </c>
      <c r="L85" s="3">
        <v>0</v>
      </c>
      <c r="M85" s="3">
        <f>IFERROR(VLOOKUP(A85,Hoja2!$A$2:$C$264,2,FALSE),0)</f>
        <v>745.25</v>
      </c>
      <c r="N85" s="3">
        <f>IFERROR(VLOOKUP(A85,Hoja2!$A$2:$C$264,3,FALSE),0)</f>
        <v>3339.25</v>
      </c>
      <c r="O85" s="4">
        <v>0.91856666666666664</v>
      </c>
    </row>
    <row r="86" spans="1:15" x14ac:dyDescent="0.25">
      <c r="A86">
        <v>197</v>
      </c>
      <c r="B86" t="s">
        <v>295</v>
      </c>
      <c r="C86" t="s">
        <v>51</v>
      </c>
      <c r="D86" t="s">
        <v>18</v>
      </c>
      <c r="E86" t="s">
        <v>18</v>
      </c>
      <c r="F86" t="s">
        <v>85</v>
      </c>
      <c r="G86" t="s">
        <v>296</v>
      </c>
      <c r="H86" t="s">
        <v>297</v>
      </c>
      <c r="I86" t="s">
        <v>15</v>
      </c>
      <c r="J86">
        <v>3216.6666666666665</v>
      </c>
      <c r="K86" s="3">
        <v>1</v>
      </c>
      <c r="L86" s="3">
        <v>2</v>
      </c>
      <c r="M86" s="3">
        <f>IFERROR(VLOOKUP(A86,Hoja2!$A$2:$C$264,2,FALSE),0)</f>
        <v>356.3</v>
      </c>
      <c r="N86" s="3">
        <f>IFERROR(VLOOKUP(A86,Hoja2!$A$2:$C$264,3,FALSE),0)</f>
        <v>2735.25</v>
      </c>
      <c r="O86" s="4">
        <v>0.92706666666666671</v>
      </c>
    </row>
    <row r="87" spans="1:15" x14ac:dyDescent="0.25">
      <c r="A87">
        <v>200</v>
      </c>
      <c r="B87" t="s">
        <v>11</v>
      </c>
      <c r="C87" t="s">
        <v>11</v>
      </c>
      <c r="D87" t="s">
        <v>11</v>
      </c>
      <c r="E87" t="s">
        <v>11</v>
      </c>
      <c r="F87" t="s">
        <v>11</v>
      </c>
      <c r="G87" t="s">
        <v>298</v>
      </c>
      <c r="H87" t="s">
        <v>299</v>
      </c>
      <c r="I87" t="s">
        <v>300</v>
      </c>
      <c r="J87">
        <v>11002.666666666666</v>
      </c>
      <c r="K87" s="3">
        <v>5</v>
      </c>
      <c r="L87" s="3">
        <v>2</v>
      </c>
      <c r="M87" s="3">
        <f>IFERROR(VLOOKUP(A87,Hoja2!$A$2:$C$264,2,FALSE),0)</f>
        <v>1717</v>
      </c>
      <c r="N87" s="3">
        <f>IFERROR(VLOOKUP(A87,Hoja2!$A$2:$C$264,3,FALSE),0)</f>
        <v>12618.75</v>
      </c>
      <c r="O87" s="4">
        <v>0.74519999999999997</v>
      </c>
    </row>
    <row r="88" spans="1:15" x14ac:dyDescent="0.25">
      <c r="A88">
        <v>201</v>
      </c>
      <c r="B88" t="s">
        <v>301</v>
      </c>
      <c r="C88" t="s">
        <v>11</v>
      </c>
      <c r="D88" t="s">
        <v>11</v>
      </c>
      <c r="E88" t="s">
        <v>11</v>
      </c>
      <c r="F88" t="s">
        <v>301</v>
      </c>
      <c r="G88" t="s">
        <v>302</v>
      </c>
      <c r="H88" t="s">
        <v>303</v>
      </c>
      <c r="I88" t="s">
        <v>66</v>
      </c>
      <c r="J88">
        <v>6644.666666666667</v>
      </c>
      <c r="K88" s="3">
        <v>2</v>
      </c>
      <c r="L88" s="3">
        <v>1</v>
      </c>
      <c r="M88" s="3">
        <f>IFERROR(VLOOKUP(A88,Hoja2!$A$2:$C$264,2,FALSE),0)</f>
        <v>1238.4444444444443</v>
      </c>
      <c r="N88" s="3">
        <f>IFERROR(VLOOKUP(A88,Hoja2!$A$2:$C$264,3,FALSE),0)</f>
        <v>6624.25</v>
      </c>
      <c r="O88" s="4">
        <v>0.90700000000000003</v>
      </c>
    </row>
    <row r="89" spans="1:15" x14ac:dyDescent="0.25">
      <c r="A89">
        <v>202</v>
      </c>
      <c r="B89" t="s">
        <v>304</v>
      </c>
      <c r="C89" t="s">
        <v>11</v>
      </c>
      <c r="D89" t="s">
        <v>304</v>
      </c>
      <c r="E89" t="s">
        <v>305</v>
      </c>
      <c r="F89" t="s">
        <v>304</v>
      </c>
      <c r="G89" t="s">
        <v>306</v>
      </c>
      <c r="H89" t="s">
        <v>307</v>
      </c>
      <c r="I89" t="s">
        <v>66</v>
      </c>
      <c r="J89">
        <v>8756</v>
      </c>
      <c r="K89" s="3">
        <v>2</v>
      </c>
      <c r="L89" s="3">
        <v>2</v>
      </c>
      <c r="M89" s="3">
        <f>IFERROR(VLOOKUP(A89,Hoja2!$A$2:$C$264,2,FALSE),0)</f>
        <v>1154.6363636363637</v>
      </c>
      <c r="N89" s="3">
        <f>IFERROR(VLOOKUP(A89,Hoja2!$A$2:$C$264,3,FALSE),0)</f>
        <v>9562</v>
      </c>
      <c r="O89" s="4">
        <v>0.64573333333333327</v>
      </c>
    </row>
    <row r="90" spans="1:15" x14ac:dyDescent="0.25">
      <c r="A90">
        <v>203</v>
      </c>
      <c r="B90" t="s">
        <v>308</v>
      </c>
      <c r="C90" t="s">
        <v>36</v>
      </c>
      <c r="D90" t="s">
        <v>309</v>
      </c>
      <c r="E90" t="s">
        <v>309</v>
      </c>
      <c r="F90" t="s">
        <v>309</v>
      </c>
      <c r="G90" t="s">
        <v>310</v>
      </c>
      <c r="H90" t="s">
        <v>311</v>
      </c>
      <c r="I90" t="s">
        <v>49</v>
      </c>
      <c r="J90">
        <v>7194.666666666667</v>
      </c>
      <c r="K90" s="3">
        <v>2</v>
      </c>
      <c r="L90" s="3">
        <v>2</v>
      </c>
      <c r="M90" s="3">
        <f>IFERROR(VLOOKUP(A90,Hoja2!$A$2:$C$264,2,FALSE),0)</f>
        <v>864.1</v>
      </c>
      <c r="N90" s="3">
        <f>IFERROR(VLOOKUP(A90,Hoja2!$A$2:$C$264,3,FALSE),0)</f>
        <v>6531.5</v>
      </c>
      <c r="O90" s="4">
        <v>0.77363333333333328</v>
      </c>
    </row>
    <row r="91" spans="1:15" x14ac:dyDescent="0.25">
      <c r="A91">
        <v>205</v>
      </c>
      <c r="B91" t="s">
        <v>312</v>
      </c>
      <c r="C91" t="s">
        <v>11</v>
      </c>
      <c r="D91" t="s">
        <v>11</v>
      </c>
      <c r="E91" t="s">
        <v>313</v>
      </c>
      <c r="F91" t="s">
        <v>313</v>
      </c>
      <c r="G91" t="s">
        <v>314</v>
      </c>
      <c r="H91" t="s">
        <v>315</v>
      </c>
      <c r="I91" t="s">
        <v>34</v>
      </c>
      <c r="J91">
        <v>843.33333333333337</v>
      </c>
      <c r="K91" s="3">
        <v>1</v>
      </c>
      <c r="L91" s="3">
        <v>0</v>
      </c>
      <c r="M91" s="3">
        <f>IFERROR(VLOOKUP(A91,Hoja2!$A$2:$C$264,2,FALSE),0)</f>
        <v>137</v>
      </c>
      <c r="N91" s="3">
        <f>IFERROR(VLOOKUP(A91,Hoja2!$A$2:$C$264,3,FALSE),0)</f>
        <v>817.5</v>
      </c>
      <c r="O91" s="4">
        <v>0.8514666666666667</v>
      </c>
    </row>
    <row r="92" spans="1:15" x14ac:dyDescent="0.25">
      <c r="A92">
        <v>208</v>
      </c>
      <c r="B92" t="s">
        <v>316</v>
      </c>
      <c r="C92" t="s">
        <v>11</v>
      </c>
      <c r="D92" t="s">
        <v>11</v>
      </c>
      <c r="E92" t="s">
        <v>11</v>
      </c>
      <c r="F92" t="s">
        <v>301</v>
      </c>
      <c r="G92" t="s">
        <v>317</v>
      </c>
      <c r="H92" t="s">
        <v>318</v>
      </c>
      <c r="I92" t="s">
        <v>15</v>
      </c>
      <c r="J92">
        <v>4850.666666666667</v>
      </c>
      <c r="K92" s="3">
        <v>2</v>
      </c>
      <c r="L92" s="3">
        <v>1</v>
      </c>
      <c r="M92" s="3">
        <f>IFERROR(VLOOKUP(A92,Hoja2!$A$2:$C$264,2,FALSE),0)</f>
        <v>670.4</v>
      </c>
      <c r="N92" s="3">
        <f>IFERROR(VLOOKUP(A92,Hoja2!$A$2:$C$264,3,FALSE),0)</f>
        <v>4750.25</v>
      </c>
      <c r="O92" s="4">
        <v>0.82620000000000005</v>
      </c>
    </row>
    <row r="93" spans="1:15" x14ac:dyDescent="0.25">
      <c r="A93">
        <v>210</v>
      </c>
      <c r="B93" t="s">
        <v>319</v>
      </c>
      <c r="C93" t="s">
        <v>320</v>
      </c>
      <c r="D93" t="s">
        <v>319</v>
      </c>
      <c r="E93" t="s">
        <v>319</v>
      </c>
      <c r="F93" t="s">
        <v>319</v>
      </c>
      <c r="G93" t="s">
        <v>321</v>
      </c>
      <c r="H93" t="s">
        <v>322</v>
      </c>
      <c r="I93" t="s">
        <v>15</v>
      </c>
      <c r="J93">
        <v>6428</v>
      </c>
      <c r="K93" s="3">
        <v>2</v>
      </c>
      <c r="L93" s="3">
        <v>2</v>
      </c>
      <c r="M93" s="3">
        <f>IFERROR(VLOOKUP(A93,Hoja2!$A$2:$C$264,2,FALSE),0)</f>
        <v>853.55555555555554</v>
      </c>
      <c r="N93" s="3">
        <f>IFERROR(VLOOKUP(A93,Hoja2!$A$2:$C$264,3,FALSE),0)</f>
        <v>4914.75</v>
      </c>
      <c r="O93" s="4">
        <v>0.92133333333333345</v>
      </c>
    </row>
    <row r="94" spans="1:15" x14ac:dyDescent="0.25">
      <c r="A94">
        <v>211</v>
      </c>
      <c r="B94" t="s">
        <v>323</v>
      </c>
      <c r="C94" t="s">
        <v>36</v>
      </c>
      <c r="D94" t="s">
        <v>18</v>
      </c>
      <c r="E94" t="s">
        <v>323</v>
      </c>
      <c r="F94" t="s">
        <v>324</v>
      </c>
      <c r="G94" t="s">
        <v>325</v>
      </c>
      <c r="H94" t="s">
        <v>326</v>
      </c>
      <c r="I94" t="s">
        <v>15</v>
      </c>
      <c r="J94">
        <v>5604.666666666667</v>
      </c>
      <c r="K94" s="3">
        <v>2</v>
      </c>
      <c r="L94" s="3">
        <v>1</v>
      </c>
      <c r="M94" s="3">
        <f>IFERROR(VLOOKUP(A94,Hoja2!$A$2:$C$264,2,FALSE),0)</f>
        <v>1077.5</v>
      </c>
      <c r="N94" s="3">
        <f>IFERROR(VLOOKUP(A94,Hoja2!$A$2:$C$264,3,FALSE),0)</f>
        <v>6976</v>
      </c>
      <c r="O94" s="4">
        <v>0.84206666666666663</v>
      </c>
    </row>
    <row r="95" spans="1:15" x14ac:dyDescent="0.25">
      <c r="A95">
        <v>215</v>
      </c>
      <c r="B95" t="s">
        <v>327</v>
      </c>
      <c r="C95" t="s">
        <v>36</v>
      </c>
      <c r="D95" t="s">
        <v>309</v>
      </c>
      <c r="E95" t="s">
        <v>327</v>
      </c>
      <c r="F95" t="s">
        <v>328</v>
      </c>
      <c r="G95" t="s">
        <v>329</v>
      </c>
      <c r="H95" t="s">
        <v>330</v>
      </c>
      <c r="I95" t="s">
        <v>66</v>
      </c>
      <c r="J95">
        <v>5004.666666666667</v>
      </c>
      <c r="K95" s="3">
        <v>2</v>
      </c>
      <c r="L95" s="3">
        <v>1</v>
      </c>
      <c r="M95" s="3">
        <f>IFERROR(VLOOKUP(A95,Hoja2!$A$2:$C$264,2,FALSE),0)</f>
        <v>1283.0999999999999</v>
      </c>
      <c r="N95" s="3">
        <f>IFERROR(VLOOKUP(A95,Hoja2!$A$2:$C$264,3,FALSE),0)</f>
        <v>7688.25</v>
      </c>
      <c r="O95" s="4">
        <v>0.74350000000000005</v>
      </c>
    </row>
    <row r="96" spans="1:15" x14ac:dyDescent="0.25">
      <c r="A96">
        <v>218</v>
      </c>
      <c r="B96" t="s">
        <v>331</v>
      </c>
      <c r="C96" t="s">
        <v>11</v>
      </c>
      <c r="D96" t="s">
        <v>11</v>
      </c>
      <c r="E96" t="s">
        <v>332</v>
      </c>
      <c r="F96" t="s">
        <v>333</v>
      </c>
      <c r="G96" t="s">
        <v>334</v>
      </c>
      <c r="H96" t="s">
        <v>335</v>
      </c>
      <c r="I96" t="s">
        <v>15</v>
      </c>
      <c r="J96">
        <v>5002.666666666667</v>
      </c>
      <c r="K96" s="3">
        <v>1</v>
      </c>
      <c r="L96" s="3">
        <v>1</v>
      </c>
      <c r="M96" s="3">
        <f>IFERROR(VLOOKUP(A96,Hoja2!$A$2:$C$264,2,FALSE),0)</f>
        <v>737.9</v>
      </c>
      <c r="N96" s="3">
        <f>IFERROR(VLOOKUP(A96,Hoja2!$A$2:$C$264,3,FALSE),0)</f>
        <v>5661</v>
      </c>
      <c r="O96" s="4">
        <v>0.73523333333333341</v>
      </c>
    </row>
    <row r="97" spans="1:15" x14ac:dyDescent="0.25">
      <c r="A97">
        <v>220</v>
      </c>
      <c r="B97" t="s">
        <v>215</v>
      </c>
      <c r="C97" t="s">
        <v>215</v>
      </c>
      <c r="D97" t="s">
        <v>215</v>
      </c>
      <c r="E97" t="s">
        <v>215</v>
      </c>
      <c r="F97" t="s">
        <v>215</v>
      </c>
      <c r="G97" t="s">
        <v>336</v>
      </c>
      <c r="H97" t="s">
        <v>337</v>
      </c>
      <c r="I97" t="s">
        <v>66</v>
      </c>
      <c r="J97">
        <v>10514</v>
      </c>
      <c r="K97" s="3">
        <v>5</v>
      </c>
      <c r="L97" s="3">
        <v>2</v>
      </c>
      <c r="M97" s="3">
        <f>IFERROR(VLOOKUP(A97,Hoja2!$A$2:$C$264,2,FALSE),0)</f>
        <v>1643.6363636363637</v>
      </c>
      <c r="N97" s="3">
        <f>IFERROR(VLOOKUP(A97,Hoja2!$A$2:$C$264,3,FALSE),0)</f>
        <v>11162.5</v>
      </c>
      <c r="O97" s="4">
        <v>0.61096666666666666</v>
      </c>
    </row>
    <row r="98" spans="1:15" x14ac:dyDescent="0.25">
      <c r="A98">
        <v>221</v>
      </c>
      <c r="B98" t="s">
        <v>338</v>
      </c>
      <c r="C98" t="s">
        <v>215</v>
      </c>
      <c r="D98" t="s">
        <v>215</v>
      </c>
      <c r="E98" t="s">
        <v>215</v>
      </c>
      <c r="F98" t="s">
        <v>215</v>
      </c>
      <c r="G98" t="s">
        <v>339</v>
      </c>
      <c r="H98" t="s">
        <v>340</v>
      </c>
      <c r="I98" t="s">
        <v>49</v>
      </c>
      <c r="J98">
        <v>4586</v>
      </c>
      <c r="K98" s="3">
        <v>2</v>
      </c>
      <c r="L98" s="3">
        <v>1</v>
      </c>
      <c r="M98" s="3">
        <f>IFERROR(VLOOKUP(A98,Hoja2!$A$2:$C$264,2,FALSE),0)</f>
        <v>1322.2222222222222</v>
      </c>
      <c r="N98" s="3">
        <f>IFERROR(VLOOKUP(A98,Hoja2!$A$2:$C$264,3,FALSE),0)</f>
        <v>6282.25</v>
      </c>
      <c r="O98" s="4">
        <v>0.8612333333333333</v>
      </c>
    </row>
    <row r="99" spans="1:15" x14ac:dyDescent="0.25">
      <c r="A99">
        <v>222</v>
      </c>
      <c r="B99" t="s">
        <v>341</v>
      </c>
      <c r="C99" t="s">
        <v>215</v>
      </c>
      <c r="D99" t="s">
        <v>215</v>
      </c>
      <c r="E99" t="s">
        <v>215</v>
      </c>
      <c r="F99" t="s">
        <v>101</v>
      </c>
      <c r="G99" t="s">
        <v>342</v>
      </c>
      <c r="H99" t="s">
        <v>343</v>
      </c>
      <c r="I99" t="s">
        <v>49</v>
      </c>
      <c r="J99">
        <v>7106.666666666667</v>
      </c>
      <c r="K99" s="3">
        <v>3</v>
      </c>
      <c r="L99" s="3">
        <v>1</v>
      </c>
      <c r="M99" s="3">
        <f>IFERROR(VLOOKUP(A99,Hoja2!$A$2:$C$264,2,FALSE),0)</f>
        <v>1192.090909090909</v>
      </c>
      <c r="N99" s="3">
        <f>IFERROR(VLOOKUP(A99,Hoja2!$A$2:$C$264,3,FALSE),0)</f>
        <v>9421.75</v>
      </c>
      <c r="O99" s="4">
        <v>0.82623333333333326</v>
      </c>
    </row>
    <row r="100" spans="1:15" x14ac:dyDescent="0.25">
      <c r="A100">
        <v>223</v>
      </c>
      <c r="B100" t="s">
        <v>344</v>
      </c>
      <c r="C100" t="s">
        <v>215</v>
      </c>
      <c r="D100" t="s">
        <v>215</v>
      </c>
      <c r="E100" t="s">
        <v>215</v>
      </c>
      <c r="F100" t="s">
        <v>345</v>
      </c>
      <c r="G100" t="s">
        <v>346</v>
      </c>
      <c r="H100" t="s">
        <v>347</v>
      </c>
      <c r="I100" t="s">
        <v>104</v>
      </c>
      <c r="J100">
        <v>10356</v>
      </c>
      <c r="K100" s="3">
        <v>4</v>
      </c>
      <c r="L100" s="3">
        <v>2</v>
      </c>
      <c r="M100" s="3">
        <f>IFERROR(VLOOKUP(A100,Hoja2!$A$2:$C$264,2,FALSE),0)</f>
        <v>2169.9</v>
      </c>
      <c r="N100" s="3">
        <f>IFERROR(VLOOKUP(A100,Hoja2!$A$2:$C$264,3,FALSE),0)</f>
        <v>12955</v>
      </c>
      <c r="O100" s="4">
        <v>0.47159999999999996</v>
      </c>
    </row>
    <row r="101" spans="1:15" x14ac:dyDescent="0.25">
      <c r="A101">
        <v>224</v>
      </c>
      <c r="B101" t="s">
        <v>348</v>
      </c>
      <c r="C101" t="s">
        <v>11</v>
      </c>
      <c r="D101" t="s">
        <v>11</v>
      </c>
      <c r="E101" t="s">
        <v>11</v>
      </c>
      <c r="F101" t="s">
        <v>11</v>
      </c>
      <c r="G101" t="s">
        <v>349</v>
      </c>
      <c r="H101" t="s">
        <v>350</v>
      </c>
      <c r="I101" t="s">
        <v>15</v>
      </c>
      <c r="J101">
        <v>5735.666666666667</v>
      </c>
      <c r="K101" s="3">
        <v>2</v>
      </c>
      <c r="L101" s="3">
        <v>1</v>
      </c>
      <c r="M101" s="3">
        <f>IFERROR(VLOOKUP(A101,Hoja2!$A$2:$C$264,2,FALSE),0)</f>
        <v>1048</v>
      </c>
      <c r="N101" s="3">
        <f>IFERROR(VLOOKUP(A101,Hoja2!$A$2:$C$264,3,FALSE),0)</f>
        <v>5900.5</v>
      </c>
      <c r="O101" s="4">
        <v>0.80336666666666667</v>
      </c>
    </row>
    <row r="102" spans="1:15" x14ac:dyDescent="0.25">
      <c r="A102">
        <v>225</v>
      </c>
      <c r="B102" t="s">
        <v>351</v>
      </c>
      <c r="C102" t="s">
        <v>215</v>
      </c>
      <c r="D102" t="s">
        <v>215</v>
      </c>
      <c r="E102" t="s">
        <v>55</v>
      </c>
      <c r="F102" t="s">
        <v>55</v>
      </c>
      <c r="G102" t="s">
        <v>352</v>
      </c>
      <c r="H102" t="s">
        <v>353</v>
      </c>
      <c r="I102" t="s">
        <v>114</v>
      </c>
      <c r="J102">
        <v>4909.333333333333</v>
      </c>
      <c r="K102" s="3">
        <v>1</v>
      </c>
      <c r="L102" s="3">
        <v>0</v>
      </c>
      <c r="M102" s="3">
        <f>IFERROR(VLOOKUP(A102,Hoja2!$A$2:$C$264,2,FALSE),0)</f>
        <v>529.77777777777783</v>
      </c>
      <c r="N102" s="3">
        <f>IFERROR(VLOOKUP(A102,Hoja2!$A$2:$C$264,3,FALSE),0)</f>
        <v>4620.5</v>
      </c>
      <c r="O102" s="4">
        <v>0.83866666666666667</v>
      </c>
    </row>
    <row r="103" spans="1:15" x14ac:dyDescent="0.25">
      <c r="A103">
        <v>226</v>
      </c>
      <c r="B103" t="s">
        <v>354</v>
      </c>
      <c r="C103" t="s">
        <v>215</v>
      </c>
      <c r="D103" t="s">
        <v>215</v>
      </c>
      <c r="E103" t="s">
        <v>215</v>
      </c>
      <c r="F103" t="s">
        <v>215</v>
      </c>
      <c r="G103" t="s">
        <v>355</v>
      </c>
      <c r="H103" t="s">
        <v>356</v>
      </c>
      <c r="I103" t="s">
        <v>49</v>
      </c>
      <c r="J103">
        <v>5712</v>
      </c>
      <c r="K103" s="3">
        <v>2</v>
      </c>
      <c r="L103" s="3">
        <v>1</v>
      </c>
      <c r="M103" s="3">
        <f>IFERROR(VLOOKUP(A103,Hoja2!$A$2:$C$264,2,FALSE),0)</f>
        <v>757.3</v>
      </c>
      <c r="N103" s="3">
        <f>IFERROR(VLOOKUP(A103,Hoja2!$A$2:$C$264,3,FALSE),0)</f>
        <v>5080.25</v>
      </c>
      <c r="O103" s="4">
        <v>0.87816666666666665</v>
      </c>
    </row>
    <row r="104" spans="1:15" x14ac:dyDescent="0.25">
      <c r="A104">
        <v>228</v>
      </c>
      <c r="B104" t="s">
        <v>357</v>
      </c>
      <c r="C104" t="s">
        <v>215</v>
      </c>
      <c r="D104" t="s">
        <v>358</v>
      </c>
      <c r="E104" t="s">
        <v>359</v>
      </c>
      <c r="F104" t="s">
        <v>357</v>
      </c>
      <c r="G104" t="s">
        <v>360</v>
      </c>
      <c r="H104" t="s">
        <v>361</v>
      </c>
      <c r="I104" t="s">
        <v>104</v>
      </c>
      <c r="J104">
        <v>11366.666666666666</v>
      </c>
      <c r="K104" s="3">
        <v>4</v>
      </c>
      <c r="L104" s="3">
        <v>2</v>
      </c>
      <c r="M104" s="3">
        <f>IFERROR(VLOOKUP(A104,Hoja2!$A$2:$C$264,2,FALSE),0)</f>
        <v>1197.0999999999999</v>
      </c>
      <c r="N104" s="3">
        <f>IFERROR(VLOOKUP(A104,Hoja2!$A$2:$C$264,3,FALSE),0)</f>
        <v>9066.5</v>
      </c>
      <c r="O104" s="4">
        <v>0.61573333333333335</v>
      </c>
    </row>
    <row r="105" spans="1:15" x14ac:dyDescent="0.25">
      <c r="A105">
        <v>229</v>
      </c>
      <c r="B105" t="s">
        <v>358</v>
      </c>
      <c r="C105" t="s">
        <v>215</v>
      </c>
      <c r="D105" t="s">
        <v>358</v>
      </c>
      <c r="E105" t="s">
        <v>358</v>
      </c>
      <c r="F105" t="s">
        <v>358</v>
      </c>
      <c r="G105" t="s">
        <v>362</v>
      </c>
      <c r="H105" t="s">
        <v>363</v>
      </c>
      <c r="I105" t="s">
        <v>49</v>
      </c>
      <c r="J105">
        <v>7481.666666666667</v>
      </c>
      <c r="K105" s="3">
        <v>3</v>
      </c>
      <c r="L105" s="3">
        <v>1</v>
      </c>
      <c r="M105" s="3">
        <f>IFERROR(VLOOKUP(A105,Hoja2!$A$2:$C$264,2,FALSE),0)</f>
        <v>1291.75</v>
      </c>
      <c r="N105" s="3">
        <f>IFERROR(VLOOKUP(A105,Hoja2!$A$2:$C$264,3,FALSE),0)</f>
        <v>7027</v>
      </c>
      <c r="O105" s="4">
        <v>0.53100000000000003</v>
      </c>
    </row>
    <row r="106" spans="1:15" x14ac:dyDescent="0.25">
      <c r="A106">
        <v>231</v>
      </c>
      <c r="B106" t="s">
        <v>364</v>
      </c>
      <c r="C106" t="s">
        <v>215</v>
      </c>
      <c r="D106" t="s">
        <v>365</v>
      </c>
      <c r="E106" t="s">
        <v>364</v>
      </c>
      <c r="F106" t="s">
        <v>364</v>
      </c>
      <c r="G106" t="s">
        <v>366</v>
      </c>
      <c r="H106" t="s">
        <v>367</v>
      </c>
      <c r="I106" t="s">
        <v>15</v>
      </c>
      <c r="J106">
        <v>3318.3333333333335</v>
      </c>
      <c r="K106" s="3">
        <v>2</v>
      </c>
      <c r="L106" s="3">
        <v>1</v>
      </c>
      <c r="M106" s="3">
        <f>IFERROR(VLOOKUP(A106,Hoja2!$A$2:$C$264,2,FALSE),0)</f>
        <v>591.66666666666663</v>
      </c>
      <c r="N106" s="3">
        <f>IFERROR(VLOOKUP(A106,Hoja2!$A$2:$C$264,3,FALSE),0)</f>
        <v>4051.25</v>
      </c>
      <c r="O106" s="4">
        <v>0.91026666666666667</v>
      </c>
    </row>
    <row r="107" spans="1:15" x14ac:dyDescent="0.25">
      <c r="A107">
        <v>232</v>
      </c>
      <c r="B107" t="s">
        <v>368</v>
      </c>
      <c r="C107" t="s">
        <v>215</v>
      </c>
      <c r="D107" t="s">
        <v>368</v>
      </c>
      <c r="E107" t="s">
        <v>368</v>
      </c>
      <c r="F107" t="s">
        <v>368</v>
      </c>
      <c r="G107" t="s">
        <v>369</v>
      </c>
      <c r="H107" t="s">
        <v>370</v>
      </c>
      <c r="I107" t="s">
        <v>66</v>
      </c>
      <c r="J107">
        <v>12046.666666666666</v>
      </c>
      <c r="K107" s="3">
        <v>4</v>
      </c>
      <c r="L107" s="3">
        <v>2</v>
      </c>
      <c r="M107" s="3">
        <f>IFERROR(VLOOKUP(A107,Hoja2!$A$2:$C$264,2,FALSE),0)</f>
        <v>1620.6</v>
      </c>
      <c r="N107" s="3">
        <f>IFERROR(VLOOKUP(A107,Hoja2!$A$2:$C$264,3,FALSE),0)</f>
        <v>12392.5</v>
      </c>
      <c r="O107" s="4">
        <v>0.80846666666666678</v>
      </c>
    </row>
    <row r="108" spans="1:15" x14ac:dyDescent="0.25">
      <c r="A108">
        <v>233</v>
      </c>
      <c r="B108" t="s">
        <v>371</v>
      </c>
      <c r="C108" t="s">
        <v>320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 t="s">
        <v>49</v>
      </c>
      <c r="J108">
        <v>5481.666666666667</v>
      </c>
      <c r="K108" s="3">
        <v>2</v>
      </c>
      <c r="L108" s="3">
        <v>1</v>
      </c>
      <c r="M108" s="3">
        <f>IFERROR(VLOOKUP(A108,Hoja2!$A$2:$C$264,2,FALSE),0)</f>
        <v>1019.7</v>
      </c>
      <c r="N108" s="3">
        <f>IFERROR(VLOOKUP(A108,Hoja2!$A$2:$C$264,3,FALSE),0)</f>
        <v>6186.75</v>
      </c>
      <c r="O108" s="4">
        <v>0.75350000000000017</v>
      </c>
    </row>
    <row r="109" spans="1:15" x14ac:dyDescent="0.25">
      <c r="A109">
        <v>234</v>
      </c>
      <c r="B109" t="s">
        <v>377</v>
      </c>
      <c r="C109" t="s">
        <v>36</v>
      </c>
      <c r="D109" t="s">
        <v>18</v>
      </c>
      <c r="E109" t="s">
        <v>18</v>
      </c>
      <c r="F109" t="s">
        <v>37</v>
      </c>
      <c r="G109" t="s">
        <v>378</v>
      </c>
      <c r="H109" t="s">
        <v>379</v>
      </c>
      <c r="I109" t="s">
        <v>15</v>
      </c>
      <c r="J109">
        <v>4050.3333333333335</v>
      </c>
      <c r="K109" s="3">
        <v>2</v>
      </c>
      <c r="L109" s="3">
        <v>1</v>
      </c>
      <c r="M109" s="3">
        <f>IFERROR(VLOOKUP(A109,Hoja2!$A$2:$C$264,2,FALSE),0)</f>
        <v>1424.375</v>
      </c>
      <c r="N109" s="3">
        <f>IFERROR(VLOOKUP(A109,Hoja2!$A$2:$C$264,3,FALSE),0)</f>
        <v>6206.5</v>
      </c>
      <c r="O109" s="4">
        <v>0.78710000000000002</v>
      </c>
    </row>
    <row r="110" spans="1:15" x14ac:dyDescent="0.25">
      <c r="A110">
        <v>235</v>
      </c>
      <c r="B110" t="s">
        <v>380</v>
      </c>
      <c r="C110" t="s">
        <v>11</v>
      </c>
      <c r="D110" t="s">
        <v>381</v>
      </c>
      <c r="E110" t="s">
        <v>380</v>
      </c>
      <c r="F110" t="s">
        <v>380</v>
      </c>
      <c r="G110" t="s">
        <v>382</v>
      </c>
      <c r="H110" t="s">
        <v>383</v>
      </c>
      <c r="I110" t="s">
        <v>104</v>
      </c>
      <c r="J110">
        <v>11599</v>
      </c>
      <c r="K110" s="3">
        <v>6</v>
      </c>
      <c r="L110" s="3">
        <v>3</v>
      </c>
      <c r="M110" s="3">
        <f>IFERROR(VLOOKUP(A110,Hoja2!$A$2:$C$264,2,FALSE),0)</f>
        <v>1987.1</v>
      </c>
      <c r="N110" s="3">
        <f>IFERROR(VLOOKUP(A110,Hoja2!$A$2:$C$264,3,FALSE),0)</f>
        <v>10994</v>
      </c>
      <c r="O110" s="4">
        <v>0.76233333333333331</v>
      </c>
    </row>
    <row r="111" spans="1:15" x14ac:dyDescent="0.25">
      <c r="A111">
        <v>236</v>
      </c>
      <c r="B111" t="s">
        <v>384</v>
      </c>
      <c r="C111" t="s">
        <v>11</v>
      </c>
      <c r="D111" t="s">
        <v>381</v>
      </c>
      <c r="E111" t="s">
        <v>385</v>
      </c>
      <c r="F111" t="s">
        <v>384</v>
      </c>
      <c r="G111" t="s">
        <v>386</v>
      </c>
      <c r="H111" t="s">
        <v>387</v>
      </c>
      <c r="I111" t="s">
        <v>15</v>
      </c>
      <c r="J111">
        <v>2170</v>
      </c>
      <c r="K111" s="3">
        <v>2</v>
      </c>
      <c r="L111" s="3">
        <v>0</v>
      </c>
      <c r="M111" s="3">
        <f>IFERROR(VLOOKUP(A111,Hoja2!$A$2:$C$264,2,FALSE),0)</f>
        <v>618.625</v>
      </c>
      <c r="N111" s="3">
        <f>IFERROR(VLOOKUP(A111,Hoja2!$A$2:$C$264,3,FALSE),0)</f>
        <v>3341</v>
      </c>
      <c r="O111" s="4">
        <v>0.91643333333333332</v>
      </c>
    </row>
    <row r="112" spans="1:15" x14ac:dyDescent="0.25">
      <c r="A112">
        <v>237</v>
      </c>
      <c r="B112" t="s">
        <v>388</v>
      </c>
      <c r="C112" t="s">
        <v>11</v>
      </c>
      <c r="D112" t="s">
        <v>381</v>
      </c>
      <c r="E112" t="s">
        <v>380</v>
      </c>
      <c r="F112" t="s">
        <v>388</v>
      </c>
      <c r="G112" t="s">
        <v>389</v>
      </c>
      <c r="H112" t="s">
        <v>390</v>
      </c>
      <c r="I112" t="s">
        <v>49</v>
      </c>
      <c r="J112">
        <v>8591.6666666666661</v>
      </c>
      <c r="K112" s="3">
        <v>3</v>
      </c>
      <c r="L112" s="3">
        <v>2</v>
      </c>
      <c r="M112" s="3">
        <f>IFERROR(VLOOKUP(A112,Hoja2!$A$2:$C$264,2,FALSE),0)</f>
        <v>1445.7</v>
      </c>
      <c r="N112" s="3">
        <f>IFERROR(VLOOKUP(A112,Hoja2!$A$2:$C$264,3,FALSE),0)</f>
        <v>8104</v>
      </c>
      <c r="O112" s="4">
        <v>0.80123333333333335</v>
      </c>
    </row>
    <row r="113" spans="1:15" x14ac:dyDescent="0.25">
      <c r="A113">
        <v>238</v>
      </c>
      <c r="B113" t="s">
        <v>391</v>
      </c>
      <c r="C113" t="s">
        <v>320</v>
      </c>
      <c r="D113" t="s">
        <v>381</v>
      </c>
      <c r="E113" t="s">
        <v>392</v>
      </c>
      <c r="F113" t="s">
        <v>392</v>
      </c>
      <c r="G113" t="s">
        <v>393</v>
      </c>
      <c r="H113" t="s">
        <v>394</v>
      </c>
      <c r="I113" t="s">
        <v>15</v>
      </c>
      <c r="J113">
        <v>3981.6666666666665</v>
      </c>
      <c r="K113" s="3">
        <v>2</v>
      </c>
      <c r="L113" s="3">
        <v>0</v>
      </c>
      <c r="M113" s="3">
        <f>IFERROR(VLOOKUP(A113,Hoja2!$A$2:$C$264,2,FALSE),0)</f>
        <v>548.66666666666663</v>
      </c>
      <c r="N113" s="3">
        <f>IFERROR(VLOOKUP(A113,Hoja2!$A$2:$C$264,3,FALSE),0)</f>
        <v>4583</v>
      </c>
      <c r="O113" s="4">
        <v>0.76150000000000018</v>
      </c>
    </row>
    <row r="114" spans="1:15" x14ac:dyDescent="0.25">
      <c r="A114">
        <v>240</v>
      </c>
      <c r="B114" t="s">
        <v>309</v>
      </c>
      <c r="C114" t="s">
        <v>36</v>
      </c>
      <c r="D114" t="s">
        <v>309</v>
      </c>
      <c r="E114" t="s">
        <v>309</v>
      </c>
      <c r="F114" t="s">
        <v>309</v>
      </c>
      <c r="G114" t="s">
        <v>395</v>
      </c>
      <c r="H114" t="s">
        <v>396</v>
      </c>
      <c r="I114" t="s">
        <v>183</v>
      </c>
      <c r="J114">
        <v>7535.666666666667</v>
      </c>
      <c r="K114" s="3">
        <v>3</v>
      </c>
      <c r="L114" s="3">
        <v>2</v>
      </c>
      <c r="M114" s="3">
        <f>IFERROR(VLOOKUP(A114,Hoja2!$A$2:$C$264,2,FALSE),0)</f>
        <v>2414.125</v>
      </c>
      <c r="N114" s="3">
        <f>IFERROR(VLOOKUP(A114,Hoja2!$A$2:$C$264,3,FALSE),0)</f>
        <v>10739</v>
      </c>
      <c r="O114" s="4">
        <v>0.39183333333333331</v>
      </c>
    </row>
    <row r="115" spans="1:15" x14ac:dyDescent="0.25">
      <c r="A115">
        <v>241</v>
      </c>
      <c r="B115" t="s">
        <v>397</v>
      </c>
      <c r="C115" t="s">
        <v>36</v>
      </c>
      <c r="D115" t="s">
        <v>309</v>
      </c>
      <c r="E115" t="s">
        <v>397</v>
      </c>
      <c r="F115" t="s">
        <v>397</v>
      </c>
      <c r="G115" t="s">
        <v>398</v>
      </c>
      <c r="H115" t="s">
        <v>399</v>
      </c>
      <c r="I115" t="s">
        <v>15</v>
      </c>
      <c r="J115">
        <v>5012.666666666667</v>
      </c>
      <c r="K115" s="3">
        <v>2</v>
      </c>
      <c r="L115" s="3">
        <v>1</v>
      </c>
      <c r="M115" s="3">
        <f>IFERROR(VLOOKUP(A115,Hoja2!$A$2:$C$264,2,FALSE),0)</f>
        <v>1011.2</v>
      </c>
      <c r="N115" s="3">
        <f>IFERROR(VLOOKUP(A115,Hoja2!$A$2:$C$264,3,FALSE),0)</f>
        <v>5849.75</v>
      </c>
      <c r="O115" s="4">
        <v>0.73466666666666658</v>
      </c>
    </row>
    <row r="116" spans="1:15" x14ac:dyDescent="0.25">
      <c r="A116">
        <v>242</v>
      </c>
      <c r="B116" t="s">
        <v>400</v>
      </c>
      <c r="C116" t="s">
        <v>51</v>
      </c>
      <c r="D116" t="s">
        <v>18</v>
      </c>
      <c r="E116" t="s">
        <v>18</v>
      </c>
      <c r="F116" t="s">
        <v>85</v>
      </c>
      <c r="G116" t="s">
        <v>401</v>
      </c>
      <c r="H116" t="s">
        <v>402</v>
      </c>
      <c r="I116" t="s">
        <v>15</v>
      </c>
      <c r="J116">
        <v>3188</v>
      </c>
      <c r="K116" s="3">
        <v>1</v>
      </c>
      <c r="L116" s="3">
        <v>0</v>
      </c>
      <c r="M116" s="3">
        <f>IFERROR(VLOOKUP(A116,Hoja2!$A$2:$C$264,2,FALSE),0)</f>
        <v>436.75</v>
      </c>
      <c r="N116" s="3">
        <f>IFERROR(VLOOKUP(A116,Hoja2!$A$2:$C$264,3,FALSE),0)</f>
        <v>2754.25</v>
      </c>
      <c r="O116" s="4">
        <v>0.88833333333333331</v>
      </c>
    </row>
    <row r="117" spans="1:15" x14ac:dyDescent="0.25">
      <c r="A117">
        <v>244</v>
      </c>
      <c r="B117" t="s">
        <v>403</v>
      </c>
      <c r="C117" t="s">
        <v>51</v>
      </c>
      <c r="D117" t="s">
        <v>18</v>
      </c>
      <c r="E117" t="s">
        <v>18</v>
      </c>
      <c r="F117" t="s">
        <v>85</v>
      </c>
      <c r="G117" t="s">
        <v>404</v>
      </c>
      <c r="H117" t="s">
        <v>405</v>
      </c>
      <c r="I117" t="s">
        <v>66</v>
      </c>
      <c r="J117">
        <v>7189</v>
      </c>
      <c r="K117" s="3">
        <v>1</v>
      </c>
      <c r="L117" s="3">
        <v>1</v>
      </c>
      <c r="M117" s="3">
        <f>IFERROR(VLOOKUP(A117,Hoja2!$A$2:$C$264,2,FALSE),0)</f>
        <v>856.77777777777783</v>
      </c>
      <c r="N117" s="3">
        <f>IFERROR(VLOOKUP(A117,Hoja2!$A$2:$C$264,3,FALSE),0)</f>
        <v>6254.25</v>
      </c>
      <c r="O117" s="4">
        <v>0.79583333333333328</v>
      </c>
    </row>
    <row r="118" spans="1:15" x14ac:dyDescent="0.25">
      <c r="A118">
        <v>245</v>
      </c>
      <c r="B118" t="s">
        <v>406</v>
      </c>
      <c r="C118" t="s">
        <v>41</v>
      </c>
      <c r="D118" t="s">
        <v>407</v>
      </c>
      <c r="E118" t="s">
        <v>407</v>
      </c>
      <c r="F118" t="s">
        <v>407</v>
      </c>
      <c r="G118" t="s">
        <v>408</v>
      </c>
      <c r="H118" t="s">
        <v>409</v>
      </c>
      <c r="I118" t="s">
        <v>15</v>
      </c>
      <c r="J118">
        <v>4062.3333333333335</v>
      </c>
      <c r="K118" s="3">
        <v>1</v>
      </c>
      <c r="L118" s="3">
        <v>2</v>
      </c>
      <c r="M118" s="3">
        <f>IFERROR(VLOOKUP(A118,Hoja2!$A$2:$C$264,2,FALSE),0)</f>
        <v>610.81818181818187</v>
      </c>
      <c r="N118" s="3">
        <f>IFERROR(VLOOKUP(A118,Hoja2!$A$2:$C$264,3,FALSE),0)</f>
        <v>4331.25</v>
      </c>
      <c r="O118" s="4">
        <v>0.88609999999999989</v>
      </c>
    </row>
    <row r="119" spans="1:15" x14ac:dyDescent="0.25">
      <c r="A119">
        <v>245</v>
      </c>
      <c r="B119" t="s">
        <v>410</v>
      </c>
      <c r="C119" t="s">
        <v>41</v>
      </c>
      <c r="D119" t="s">
        <v>407</v>
      </c>
      <c r="E119" t="s">
        <v>407</v>
      </c>
      <c r="F119" t="s">
        <v>407</v>
      </c>
      <c r="G119" t="s">
        <v>408</v>
      </c>
      <c r="H119" t="s">
        <v>409</v>
      </c>
      <c r="I119" t="s">
        <v>15</v>
      </c>
      <c r="J119">
        <v>4062.3333333333335</v>
      </c>
      <c r="K119" s="3">
        <v>1</v>
      </c>
      <c r="L119" s="3">
        <v>2</v>
      </c>
      <c r="M119" s="3">
        <f>IFERROR(VLOOKUP(A119,Hoja2!$A$2:$C$264,2,FALSE),0)</f>
        <v>610.81818181818187</v>
      </c>
      <c r="N119" s="3">
        <f>IFERROR(VLOOKUP(A119,Hoja2!$A$2:$C$264,3,FALSE),0)</f>
        <v>4331.25</v>
      </c>
      <c r="O119" s="4">
        <v>0.88609999999999989</v>
      </c>
    </row>
    <row r="120" spans="1:15" x14ac:dyDescent="0.25">
      <c r="A120">
        <v>246</v>
      </c>
      <c r="B120" t="s">
        <v>411</v>
      </c>
      <c r="C120" t="s">
        <v>27</v>
      </c>
      <c r="D120" t="s">
        <v>28</v>
      </c>
      <c r="E120" t="s">
        <v>27</v>
      </c>
      <c r="F120" t="s">
        <v>27</v>
      </c>
      <c r="G120" t="s">
        <v>412</v>
      </c>
      <c r="H120" t="s">
        <v>413</v>
      </c>
      <c r="I120" t="s">
        <v>49</v>
      </c>
      <c r="J120">
        <v>6669</v>
      </c>
      <c r="K120" s="3">
        <v>2</v>
      </c>
      <c r="L120" s="3">
        <v>1</v>
      </c>
      <c r="M120" s="3">
        <f>IFERROR(VLOOKUP(A120,Hoja2!$A$2:$C$264,2,FALSE),0)</f>
        <v>1186.5</v>
      </c>
      <c r="N120" s="3">
        <f>IFERROR(VLOOKUP(A120,Hoja2!$A$2:$C$264,3,FALSE),0)</f>
        <v>7832</v>
      </c>
      <c r="O120" s="4">
        <v>0.77603333333333335</v>
      </c>
    </row>
    <row r="121" spans="1:15" x14ac:dyDescent="0.25">
      <c r="A121">
        <v>247</v>
      </c>
      <c r="B121" t="s">
        <v>414</v>
      </c>
      <c r="C121" t="s">
        <v>27</v>
      </c>
      <c r="D121" t="s">
        <v>28</v>
      </c>
      <c r="E121" t="s">
        <v>414</v>
      </c>
      <c r="F121" t="s">
        <v>414</v>
      </c>
      <c r="G121" t="s">
        <v>415</v>
      </c>
      <c r="H121" t="s">
        <v>416</v>
      </c>
      <c r="I121" t="s">
        <v>15</v>
      </c>
      <c r="J121">
        <v>3978</v>
      </c>
      <c r="K121" s="3">
        <v>1</v>
      </c>
      <c r="L121" s="3">
        <v>0</v>
      </c>
      <c r="M121" s="3">
        <f>IFERROR(VLOOKUP(A121,Hoja2!$A$2:$C$264,2,FALSE),0)</f>
        <v>904</v>
      </c>
      <c r="N121" s="3">
        <f>IFERROR(VLOOKUP(A121,Hoja2!$A$2:$C$264,3,FALSE),0)</f>
        <v>5025.25</v>
      </c>
      <c r="O121" s="4">
        <v>0.80913333333333337</v>
      </c>
    </row>
    <row r="122" spans="1:15" x14ac:dyDescent="0.25">
      <c r="A122">
        <v>248</v>
      </c>
      <c r="B122" t="s">
        <v>417</v>
      </c>
      <c r="C122" t="s">
        <v>27</v>
      </c>
      <c r="D122" t="s">
        <v>418</v>
      </c>
      <c r="E122" t="s">
        <v>418</v>
      </c>
      <c r="F122" t="s">
        <v>418</v>
      </c>
      <c r="G122" t="s">
        <v>419</v>
      </c>
      <c r="H122" t="s">
        <v>420</v>
      </c>
      <c r="I122" t="s">
        <v>49</v>
      </c>
      <c r="J122">
        <v>7510.333333333333</v>
      </c>
      <c r="K122" s="3">
        <v>2</v>
      </c>
      <c r="L122" s="3">
        <v>1</v>
      </c>
      <c r="M122" s="3">
        <f>IFERROR(VLOOKUP(A122,Hoja2!$A$2:$C$264,2,FALSE),0)</f>
        <v>1006.9</v>
      </c>
      <c r="N122" s="3">
        <f>IFERROR(VLOOKUP(A122,Hoja2!$A$2:$C$264,3,FALSE),0)</f>
        <v>6889.25</v>
      </c>
      <c r="O122" s="4">
        <v>0.79476666666666651</v>
      </c>
    </row>
    <row r="123" spans="1:15" x14ac:dyDescent="0.25">
      <c r="A123">
        <v>249</v>
      </c>
      <c r="B123" t="s">
        <v>27</v>
      </c>
      <c r="C123" t="s">
        <v>27</v>
      </c>
      <c r="D123" t="s">
        <v>28</v>
      </c>
      <c r="E123" t="s">
        <v>27</v>
      </c>
      <c r="F123" t="s">
        <v>27</v>
      </c>
      <c r="G123" t="s">
        <v>421</v>
      </c>
      <c r="H123" t="s">
        <v>422</v>
      </c>
      <c r="I123" t="s">
        <v>104</v>
      </c>
      <c r="J123">
        <v>14755.333333333334</v>
      </c>
      <c r="K123" s="3">
        <v>6</v>
      </c>
      <c r="L123" s="3">
        <v>2</v>
      </c>
      <c r="M123" s="3">
        <f>IFERROR(VLOOKUP(A123,Hoja2!$A$2:$C$264,2,FALSE),0)</f>
        <v>2498.2222222222222</v>
      </c>
      <c r="N123" s="3">
        <f>IFERROR(VLOOKUP(A123,Hoja2!$A$2:$C$264,3,FALSE),0)</f>
        <v>14777.75</v>
      </c>
      <c r="O123" s="4">
        <v>0.6495333333333333</v>
      </c>
    </row>
    <row r="124" spans="1:15" x14ac:dyDescent="0.25">
      <c r="A124">
        <v>250</v>
      </c>
      <c r="B124" t="s">
        <v>423</v>
      </c>
      <c r="C124" t="s">
        <v>27</v>
      </c>
      <c r="D124" t="s">
        <v>28</v>
      </c>
      <c r="E124" t="s">
        <v>27</v>
      </c>
      <c r="F124" t="s">
        <v>27</v>
      </c>
      <c r="G124" t="s">
        <v>424</v>
      </c>
      <c r="H124" t="s">
        <v>425</v>
      </c>
      <c r="I124" t="s">
        <v>15</v>
      </c>
      <c r="J124">
        <v>6112.333333333333</v>
      </c>
      <c r="K124" s="3">
        <v>2</v>
      </c>
      <c r="L124" s="3">
        <v>1</v>
      </c>
      <c r="M124" s="3">
        <f>IFERROR(VLOOKUP(A124,Hoja2!$A$2:$C$264,2,FALSE),0)</f>
        <v>1206.6666666666667</v>
      </c>
      <c r="N124" s="3">
        <f>IFERROR(VLOOKUP(A124,Hoja2!$A$2:$C$264,3,FALSE),0)</f>
        <v>6832.5</v>
      </c>
      <c r="O124" s="4">
        <v>0.75</v>
      </c>
    </row>
    <row r="125" spans="1:15" x14ac:dyDescent="0.25">
      <c r="A125">
        <v>251</v>
      </c>
      <c r="B125" t="s">
        <v>426</v>
      </c>
      <c r="C125" t="s">
        <v>27</v>
      </c>
      <c r="D125" t="s">
        <v>28</v>
      </c>
      <c r="E125" t="s">
        <v>27</v>
      </c>
      <c r="F125" t="s">
        <v>27</v>
      </c>
      <c r="G125" t="s">
        <v>427</v>
      </c>
      <c r="H125" t="s">
        <v>428</v>
      </c>
      <c r="I125" t="s">
        <v>49</v>
      </c>
      <c r="J125">
        <v>5072.666666666667</v>
      </c>
      <c r="K125" s="3">
        <v>1</v>
      </c>
      <c r="L125" s="3">
        <v>1</v>
      </c>
      <c r="M125" s="3">
        <f>IFERROR(VLOOKUP(A125,Hoja2!$A$2:$C$264,2,FALSE),0)</f>
        <v>817.625</v>
      </c>
      <c r="N125" s="3">
        <f>IFERROR(VLOOKUP(A125,Hoja2!$A$2:$C$264,3,FALSE),0)</f>
        <v>3761</v>
      </c>
      <c r="O125" s="4">
        <v>0.86163333333333336</v>
      </c>
    </row>
    <row r="126" spans="1:15" x14ac:dyDescent="0.25">
      <c r="A126">
        <v>252</v>
      </c>
      <c r="B126" t="s">
        <v>429</v>
      </c>
      <c r="C126" t="s">
        <v>60</v>
      </c>
      <c r="D126" t="s">
        <v>18</v>
      </c>
      <c r="E126" t="s">
        <v>18</v>
      </c>
      <c r="F126" t="s">
        <v>59</v>
      </c>
      <c r="G126" t="s">
        <v>430</v>
      </c>
      <c r="H126" t="s">
        <v>431</v>
      </c>
      <c r="I126" t="s">
        <v>15</v>
      </c>
      <c r="J126">
        <v>3506.3333333333335</v>
      </c>
      <c r="K126" s="3">
        <v>1</v>
      </c>
      <c r="L126" s="3">
        <v>1</v>
      </c>
      <c r="M126" s="3">
        <f>IFERROR(VLOOKUP(A126,Hoja2!$A$2:$C$264,2,FALSE),0)</f>
        <v>1201.0999999999999</v>
      </c>
      <c r="N126" s="3">
        <f>IFERROR(VLOOKUP(A126,Hoja2!$A$2:$C$264,3,FALSE),0)</f>
        <v>5947.75</v>
      </c>
      <c r="O126" s="4">
        <v>0.77073333333333338</v>
      </c>
    </row>
    <row r="127" spans="1:15" x14ac:dyDescent="0.25">
      <c r="A127">
        <v>253</v>
      </c>
      <c r="B127" t="s">
        <v>432</v>
      </c>
      <c r="C127" t="s">
        <v>81</v>
      </c>
      <c r="D127" t="s">
        <v>18</v>
      </c>
      <c r="E127" t="s">
        <v>18</v>
      </c>
      <c r="F127" t="s">
        <v>89</v>
      </c>
      <c r="G127" t="s">
        <v>433</v>
      </c>
      <c r="H127" t="s">
        <v>434</v>
      </c>
      <c r="I127" t="s">
        <v>15</v>
      </c>
      <c r="J127">
        <v>3014</v>
      </c>
      <c r="K127" s="3">
        <v>1</v>
      </c>
      <c r="L127" s="3">
        <v>1</v>
      </c>
      <c r="M127" s="3">
        <f>IFERROR(VLOOKUP(A127,Hoja2!$A$2:$C$264,2,FALSE),0)</f>
        <v>1140.3333333333333</v>
      </c>
      <c r="N127" s="3">
        <f>IFERROR(VLOOKUP(A127,Hoja2!$A$2:$C$264,3,FALSE),0)</f>
        <v>4913.75</v>
      </c>
      <c r="O127" s="4">
        <v>0.86560000000000004</v>
      </c>
    </row>
    <row r="128" spans="1:15" x14ac:dyDescent="0.25">
      <c r="A128">
        <v>254</v>
      </c>
      <c r="B128" t="s">
        <v>435</v>
      </c>
      <c r="C128" t="s">
        <v>27</v>
      </c>
      <c r="D128" t="s">
        <v>28</v>
      </c>
      <c r="E128" t="s">
        <v>27</v>
      </c>
      <c r="F128" t="s">
        <v>27</v>
      </c>
      <c r="G128" t="s">
        <v>436</v>
      </c>
      <c r="H128" t="s">
        <v>437</v>
      </c>
      <c r="I128" t="s">
        <v>15</v>
      </c>
      <c r="J128">
        <v>6051.666666666667</v>
      </c>
      <c r="K128" s="3">
        <v>2</v>
      </c>
      <c r="L128" s="3">
        <v>1</v>
      </c>
      <c r="M128" s="3">
        <f>IFERROR(VLOOKUP(A128,Hoja2!$A$2:$C$264,2,FALSE),0)</f>
        <v>851.6</v>
      </c>
      <c r="N128" s="3">
        <f>IFERROR(VLOOKUP(A128,Hoja2!$A$2:$C$264,3,FALSE),0)</f>
        <v>5749</v>
      </c>
      <c r="O128" s="4">
        <v>0.62290000000000001</v>
      </c>
    </row>
    <row r="129" spans="1:15" x14ac:dyDescent="0.25">
      <c r="A129">
        <v>256</v>
      </c>
      <c r="B129" t="s">
        <v>438</v>
      </c>
      <c r="C129" t="s">
        <v>56</v>
      </c>
      <c r="D129" t="s">
        <v>18</v>
      </c>
      <c r="E129" t="s">
        <v>18</v>
      </c>
      <c r="F129" t="s">
        <v>136</v>
      </c>
      <c r="G129" t="s">
        <v>439</v>
      </c>
      <c r="H129" t="s">
        <v>440</v>
      </c>
      <c r="I129" t="s">
        <v>15</v>
      </c>
      <c r="J129">
        <v>3000</v>
      </c>
      <c r="K129" s="3">
        <v>2</v>
      </c>
      <c r="L129" s="3">
        <v>2</v>
      </c>
      <c r="M129" s="3">
        <f>IFERROR(VLOOKUP(A129,Hoja2!$A$2:$C$264,2,FALSE),0)</f>
        <v>1264.5</v>
      </c>
      <c r="N129" s="3">
        <f>IFERROR(VLOOKUP(A129,Hoja2!$A$2:$C$264,3,FALSE),0)</f>
        <v>4932</v>
      </c>
      <c r="O129" s="4">
        <v>0.73593333333333322</v>
      </c>
    </row>
    <row r="130" spans="1:15" x14ac:dyDescent="0.25">
      <c r="A130">
        <v>257</v>
      </c>
      <c r="B130" t="s">
        <v>441</v>
      </c>
      <c r="C130" t="s">
        <v>56</v>
      </c>
      <c r="D130" t="s">
        <v>18</v>
      </c>
      <c r="E130" t="s">
        <v>18</v>
      </c>
      <c r="F130" t="s">
        <v>136</v>
      </c>
      <c r="G130" t="s">
        <v>442</v>
      </c>
      <c r="H130" t="s">
        <v>443</v>
      </c>
      <c r="I130" t="s">
        <v>49</v>
      </c>
      <c r="J130">
        <v>3616.3333333333335</v>
      </c>
      <c r="K130" s="3">
        <v>2</v>
      </c>
      <c r="L130" s="3">
        <v>1</v>
      </c>
      <c r="M130" s="3">
        <f>IFERROR(VLOOKUP(A130,Hoja2!$A$2:$C$264,2,FALSE),0)</f>
        <v>934.4</v>
      </c>
      <c r="N130" s="3">
        <f>IFERROR(VLOOKUP(A130,Hoja2!$A$2:$C$264,3,FALSE),0)</f>
        <v>4665.25</v>
      </c>
      <c r="O130" s="4">
        <v>0.83330000000000004</v>
      </c>
    </row>
    <row r="131" spans="1:15" x14ac:dyDescent="0.25">
      <c r="A131">
        <v>258</v>
      </c>
      <c r="B131" t="s">
        <v>444</v>
      </c>
      <c r="C131" t="s">
        <v>11</v>
      </c>
      <c r="D131" t="s">
        <v>11</v>
      </c>
      <c r="E131" t="s">
        <v>11</v>
      </c>
      <c r="F131" t="s">
        <v>445</v>
      </c>
      <c r="G131" t="s">
        <v>446</v>
      </c>
      <c r="H131" t="s">
        <v>447</v>
      </c>
      <c r="I131" t="s">
        <v>49</v>
      </c>
      <c r="J131">
        <v>6674.666666666667</v>
      </c>
      <c r="K131" s="3">
        <v>1</v>
      </c>
      <c r="L131" s="3">
        <v>1</v>
      </c>
      <c r="M131" s="3">
        <f>IFERROR(VLOOKUP(A131,Hoja2!$A$2:$C$264,2,FALSE),0)</f>
        <v>1059.5999999999999</v>
      </c>
      <c r="N131" s="3">
        <f>IFERROR(VLOOKUP(A131,Hoja2!$A$2:$C$264,3,FALSE),0)</f>
        <v>7063.75</v>
      </c>
      <c r="O131" s="4">
        <v>0.70866666666666667</v>
      </c>
    </row>
    <row r="132" spans="1:15" x14ac:dyDescent="0.25">
      <c r="A132">
        <v>259</v>
      </c>
      <c r="B132" t="s">
        <v>448</v>
      </c>
      <c r="C132" t="s">
        <v>60</v>
      </c>
      <c r="D132" t="s">
        <v>18</v>
      </c>
      <c r="E132" t="s">
        <v>18</v>
      </c>
      <c r="F132" t="s">
        <v>59</v>
      </c>
      <c r="G132" t="s">
        <v>449</v>
      </c>
      <c r="H132" t="s">
        <v>450</v>
      </c>
      <c r="I132" t="s">
        <v>15</v>
      </c>
      <c r="J132">
        <v>4037.6666666666665</v>
      </c>
      <c r="K132" s="3">
        <v>2</v>
      </c>
      <c r="L132" s="3">
        <v>2</v>
      </c>
      <c r="M132" s="3">
        <f>IFERROR(VLOOKUP(A132,Hoja2!$A$2:$C$264,2,FALSE),0)</f>
        <v>1300.3</v>
      </c>
      <c r="N132" s="3">
        <f>IFERROR(VLOOKUP(A132,Hoja2!$A$2:$C$264,3,FALSE),0)</f>
        <v>6677</v>
      </c>
      <c r="O132" s="4">
        <v>0.74440000000000006</v>
      </c>
    </row>
    <row r="133" spans="1:15" x14ac:dyDescent="0.25">
      <c r="A133">
        <v>260</v>
      </c>
      <c r="B133" t="s">
        <v>451</v>
      </c>
      <c r="C133" t="s">
        <v>27</v>
      </c>
      <c r="D133" t="s">
        <v>452</v>
      </c>
      <c r="E133" t="s">
        <v>451</v>
      </c>
      <c r="F133" t="s">
        <v>451</v>
      </c>
      <c r="G133" t="s">
        <v>453</v>
      </c>
      <c r="H133" t="s">
        <v>454</v>
      </c>
      <c r="I133" t="s">
        <v>49</v>
      </c>
      <c r="J133">
        <v>9306.3333333333339</v>
      </c>
      <c r="K133" s="3">
        <v>3</v>
      </c>
      <c r="L133" s="3">
        <v>2</v>
      </c>
      <c r="M133" s="3">
        <f>IFERROR(VLOOKUP(A133,Hoja2!$A$2:$C$264,2,FALSE),0)</f>
        <v>1593.625</v>
      </c>
      <c r="N133" s="3">
        <f>IFERROR(VLOOKUP(A133,Hoja2!$A$2:$C$264,3,FALSE),0)</f>
        <v>8724.5</v>
      </c>
      <c r="O133" s="4">
        <v>0.8085</v>
      </c>
    </row>
    <row r="134" spans="1:15" x14ac:dyDescent="0.25">
      <c r="A134">
        <v>261</v>
      </c>
      <c r="B134" t="s">
        <v>455</v>
      </c>
      <c r="C134" t="s">
        <v>36</v>
      </c>
      <c r="D134" t="s">
        <v>18</v>
      </c>
      <c r="E134" t="s">
        <v>18</v>
      </c>
      <c r="F134" t="s">
        <v>154</v>
      </c>
      <c r="G134" t="s">
        <v>456</v>
      </c>
      <c r="H134" t="s">
        <v>457</v>
      </c>
      <c r="I134" t="s">
        <v>15</v>
      </c>
      <c r="J134">
        <v>4853.333333333333</v>
      </c>
      <c r="K134" s="3">
        <v>2</v>
      </c>
      <c r="L134" s="3">
        <v>1</v>
      </c>
      <c r="M134" s="3">
        <f>IFERROR(VLOOKUP(A134,Hoja2!$A$2:$C$264,2,FALSE),0)</f>
        <v>1240.5</v>
      </c>
      <c r="N134" s="3">
        <f>IFERROR(VLOOKUP(A134,Hoja2!$A$2:$C$264,3,FALSE),0)</f>
        <v>6277.25</v>
      </c>
      <c r="O134" s="4">
        <v>0.84226666666666672</v>
      </c>
    </row>
    <row r="135" spans="1:15" x14ac:dyDescent="0.25">
      <c r="A135">
        <v>262</v>
      </c>
      <c r="B135" t="s">
        <v>458</v>
      </c>
      <c r="C135" t="s">
        <v>68</v>
      </c>
      <c r="D135" t="s">
        <v>18</v>
      </c>
      <c r="E135" t="s">
        <v>18</v>
      </c>
      <c r="F135" t="s">
        <v>68</v>
      </c>
      <c r="G135" t="s">
        <v>459</v>
      </c>
      <c r="H135" t="s">
        <v>460</v>
      </c>
      <c r="I135" t="s">
        <v>15</v>
      </c>
      <c r="J135">
        <v>4482.333333333333</v>
      </c>
      <c r="K135" s="3">
        <v>2</v>
      </c>
      <c r="L135" s="3">
        <v>1</v>
      </c>
      <c r="M135" s="3">
        <f>IFERROR(VLOOKUP(A135,Hoja2!$A$2:$C$264,2,FALSE),0)</f>
        <v>638.22222222222217</v>
      </c>
      <c r="N135" s="3">
        <f>IFERROR(VLOOKUP(A135,Hoja2!$A$2:$C$264,3,FALSE),0)</f>
        <v>4160</v>
      </c>
      <c r="O135" s="4">
        <v>0.78333333333333321</v>
      </c>
    </row>
    <row r="136" spans="1:15" x14ac:dyDescent="0.25">
      <c r="A136">
        <v>263</v>
      </c>
      <c r="B136" t="s">
        <v>461</v>
      </c>
      <c r="C136" t="s">
        <v>11</v>
      </c>
      <c r="D136" t="s">
        <v>462</v>
      </c>
      <c r="E136" t="s">
        <v>463</v>
      </c>
      <c r="F136" t="s">
        <v>463</v>
      </c>
      <c r="G136" t="s">
        <v>464</v>
      </c>
      <c r="H136" t="s">
        <v>465</v>
      </c>
      <c r="I136" t="s">
        <v>49</v>
      </c>
      <c r="J136">
        <v>7309</v>
      </c>
      <c r="K136" s="3">
        <v>1</v>
      </c>
      <c r="L136" s="3">
        <v>1</v>
      </c>
      <c r="M136" s="3">
        <f>IFERROR(VLOOKUP(A136,Hoja2!$A$2:$C$264,2,FALSE),0)</f>
        <v>624.22222222222217</v>
      </c>
      <c r="N136" s="3">
        <f>IFERROR(VLOOKUP(A136,Hoja2!$A$2:$C$264,3,FALSE),0)</f>
        <v>4263</v>
      </c>
      <c r="O136" s="4">
        <v>0.54310000000000003</v>
      </c>
    </row>
    <row r="137" spans="1:15" x14ac:dyDescent="0.25">
      <c r="A137">
        <v>264</v>
      </c>
      <c r="B137" t="s">
        <v>466</v>
      </c>
      <c r="C137" t="s">
        <v>81</v>
      </c>
      <c r="D137" t="s">
        <v>18</v>
      </c>
      <c r="E137" t="s">
        <v>467</v>
      </c>
      <c r="F137" t="s">
        <v>466</v>
      </c>
      <c r="G137" t="s">
        <v>468</v>
      </c>
      <c r="H137" t="s">
        <v>469</v>
      </c>
      <c r="I137" t="s">
        <v>15</v>
      </c>
      <c r="J137">
        <v>2447.6666666666665</v>
      </c>
      <c r="K137" s="3">
        <v>1</v>
      </c>
      <c r="L137" s="3">
        <v>0</v>
      </c>
      <c r="M137" s="3">
        <f>IFERROR(VLOOKUP(A137,Hoja2!$A$2:$C$264,2,FALSE),0)</f>
        <v>634.33333333333337</v>
      </c>
      <c r="N137" s="3">
        <f>IFERROR(VLOOKUP(A137,Hoja2!$A$2:$C$264,3,FALSE),0)</f>
        <v>3831</v>
      </c>
      <c r="O137" s="4">
        <v>0.89129999999999987</v>
      </c>
    </row>
    <row r="138" spans="1:15" x14ac:dyDescent="0.25">
      <c r="A138">
        <v>265</v>
      </c>
      <c r="B138" t="s">
        <v>470</v>
      </c>
      <c r="C138" t="s">
        <v>41</v>
      </c>
      <c r="D138" t="s">
        <v>470</v>
      </c>
      <c r="E138" t="s">
        <v>470</v>
      </c>
      <c r="F138" t="s">
        <v>470</v>
      </c>
      <c r="G138" t="s">
        <v>471</v>
      </c>
      <c r="H138" t="s">
        <v>472</v>
      </c>
      <c r="I138" t="s">
        <v>66</v>
      </c>
      <c r="J138">
        <v>5609.666666666667</v>
      </c>
      <c r="K138" s="3">
        <v>3</v>
      </c>
      <c r="L138" s="3">
        <v>1</v>
      </c>
      <c r="M138" s="3">
        <f>IFERROR(VLOOKUP(A138,Hoja2!$A$2:$C$264,2,FALSE),0)</f>
        <v>1084</v>
      </c>
      <c r="N138" s="3">
        <f>IFERROR(VLOOKUP(A138,Hoja2!$A$2:$C$264,3,FALSE),0)</f>
        <v>6496.75</v>
      </c>
      <c r="O138" s="4">
        <v>0.73536666666666672</v>
      </c>
    </row>
    <row r="139" spans="1:15" x14ac:dyDescent="0.25">
      <c r="A139">
        <v>266</v>
      </c>
      <c r="B139" t="s">
        <v>473</v>
      </c>
      <c r="C139" t="s">
        <v>11</v>
      </c>
      <c r="D139" t="s">
        <v>381</v>
      </c>
      <c r="E139" t="s">
        <v>380</v>
      </c>
      <c r="F139" t="s">
        <v>380</v>
      </c>
      <c r="G139" t="s">
        <v>474</v>
      </c>
      <c r="H139" t="s">
        <v>475</v>
      </c>
      <c r="I139" t="s">
        <v>15</v>
      </c>
      <c r="J139">
        <v>4033</v>
      </c>
      <c r="K139" s="3">
        <v>2</v>
      </c>
      <c r="L139" s="3">
        <v>2</v>
      </c>
      <c r="M139" s="3">
        <f>IFERROR(VLOOKUP(A139,Hoja2!$A$2:$C$264,2,FALSE),0)</f>
        <v>920.3</v>
      </c>
      <c r="N139" s="3">
        <f>IFERROR(VLOOKUP(A139,Hoja2!$A$2:$C$264,3,FALSE),0)</f>
        <v>4437.25</v>
      </c>
      <c r="O139" s="4">
        <v>0.8296</v>
      </c>
    </row>
    <row r="140" spans="1:15" x14ac:dyDescent="0.25">
      <c r="A140">
        <v>267</v>
      </c>
      <c r="B140" t="s">
        <v>407</v>
      </c>
      <c r="C140" t="s">
        <v>41</v>
      </c>
      <c r="D140" t="s">
        <v>407</v>
      </c>
      <c r="E140" t="s">
        <v>407</v>
      </c>
      <c r="F140" t="s">
        <v>407</v>
      </c>
      <c r="G140" t="s">
        <v>476</v>
      </c>
      <c r="H140" t="s">
        <v>477</v>
      </c>
      <c r="I140" t="s">
        <v>66</v>
      </c>
      <c r="J140">
        <v>8371</v>
      </c>
      <c r="K140" s="3">
        <v>5</v>
      </c>
      <c r="L140" s="3">
        <v>2</v>
      </c>
      <c r="M140" s="3">
        <f>IFERROR(VLOOKUP(A140,Hoja2!$A$2:$C$264,2,FALSE),0)</f>
        <v>1372.3333333333333</v>
      </c>
      <c r="N140" s="3">
        <f>IFERROR(VLOOKUP(A140,Hoja2!$A$2:$C$264,3,FALSE),0)</f>
        <v>10061.5</v>
      </c>
      <c r="O140" s="4">
        <v>0.48313333333333336</v>
      </c>
    </row>
    <row r="141" spans="1:15" x14ac:dyDescent="0.25">
      <c r="A141">
        <v>268</v>
      </c>
      <c r="B141" t="s">
        <v>478</v>
      </c>
      <c r="C141" t="s">
        <v>41</v>
      </c>
      <c r="D141" t="s">
        <v>407</v>
      </c>
      <c r="E141" t="s">
        <v>407</v>
      </c>
      <c r="F141" t="s">
        <v>407</v>
      </c>
      <c r="G141" t="s">
        <v>479</v>
      </c>
      <c r="H141" t="s">
        <v>480</v>
      </c>
      <c r="I141" t="s">
        <v>15</v>
      </c>
      <c r="J141">
        <v>3857.6666666666665</v>
      </c>
      <c r="K141" s="3">
        <v>2</v>
      </c>
      <c r="L141" s="3">
        <v>0</v>
      </c>
      <c r="M141" s="3">
        <f>IFERROR(VLOOKUP(A141,Hoja2!$A$2:$C$264,2,FALSE),0)</f>
        <v>1375.6666666666667</v>
      </c>
      <c r="N141" s="3">
        <f>IFERROR(VLOOKUP(A141,Hoja2!$A$2:$C$264,3,FALSE),0)</f>
        <v>6546.5</v>
      </c>
      <c r="O141" s="4">
        <v>0.80006666666666659</v>
      </c>
    </row>
    <row r="142" spans="1:15" x14ac:dyDescent="0.25">
      <c r="A142">
        <v>269</v>
      </c>
      <c r="B142" t="s">
        <v>481</v>
      </c>
      <c r="C142" t="s">
        <v>56</v>
      </c>
      <c r="D142" t="s">
        <v>18</v>
      </c>
      <c r="E142" t="s">
        <v>18</v>
      </c>
      <c r="F142" t="s">
        <v>481</v>
      </c>
      <c r="G142" t="s">
        <v>482</v>
      </c>
      <c r="H142" t="s">
        <v>483</v>
      </c>
      <c r="I142" t="s">
        <v>15</v>
      </c>
      <c r="J142">
        <v>3050.6666666666665</v>
      </c>
      <c r="K142" s="3">
        <v>1</v>
      </c>
      <c r="L142" s="3">
        <v>1</v>
      </c>
      <c r="M142" s="3">
        <f>IFERROR(VLOOKUP(A142,Hoja2!$A$2:$C$264,2,FALSE),0)</f>
        <v>1020.375</v>
      </c>
      <c r="N142" s="3">
        <f>IFERROR(VLOOKUP(A142,Hoja2!$A$2:$C$264,3,FALSE),0)</f>
        <v>4727.75</v>
      </c>
      <c r="O142" s="4">
        <v>0.81506666666666661</v>
      </c>
    </row>
    <row r="143" spans="1:15" x14ac:dyDescent="0.25">
      <c r="A143">
        <v>270</v>
      </c>
      <c r="B143" t="s">
        <v>484</v>
      </c>
      <c r="C143" t="s">
        <v>41</v>
      </c>
      <c r="D143" t="s">
        <v>407</v>
      </c>
      <c r="E143" t="s">
        <v>484</v>
      </c>
      <c r="F143" t="s">
        <v>485</v>
      </c>
      <c r="G143" t="s">
        <v>486</v>
      </c>
      <c r="H143" t="s">
        <v>487</v>
      </c>
      <c r="I143" t="s">
        <v>15</v>
      </c>
      <c r="J143">
        <v>3553.3333333333335</v>
      </c>
      <c r="K143" s="3">
        <v>1</v>
      </c>
      <c r="L143" s="3">
        <v>1</v>
      </c>
      <c r="M143" s="3">
        <f>IFERROR(VLOOKUP(A143,Hoja2!$A$2:$C$264,2,FALSE),0)</f>
        <v>869.77777777777783</v>
      </c>
      <c r="N143" s="3">
        <f>IFERROR(VLOOKUP(A143,Hoja2!$A$2:$C$264,3,FALSE),0)</f>
        <v>5261</v>
      </c>
      <c r="O143" s="4">
        <v>0.81686666666666674</v>
      </c>
    </row>
    <row r="144" spans="1:15" x14ac:dyDescent="0.25">
      <c r="A144">
        <v>271</v>
      </c>
      <c r="B144" t="s">
        <v>488</v>
      </c>
      <c r="C144" t="s">
        <v>41</v>
      </c>
      <c r="D144" t="s">
        <v>407</v>
      </c>
      <c r="E144" t="s">
        <v>488</v>
      </c>
      <c r="F144" t="s">
        <v>488</v>
      </c>
      <c r="G144" t="s">
        <v>489</v>
      </c>
      <c r="H144" t="s">
        <v>490</v>
      </c>
      <c r="I144" t="s">
        <v>15</v>
      </c>
      <c r="J144">
        <v>4593.666666666667</v>
      </c>
      <c r="K144" s="3">
        <v>1</v>
      </c>
      <c r="L144" s="3">
        <v>1</v>
      </c>
      <c r="M144" s="3">
        <f>IFERROR(VLOOKUP(A144,Hoja2!$A$2:$C$264,2,FALSE),0)</f>
        <v>685.08333333333337</v>
      </c>
      <c r="N144" s="3">
        <f>IFERROR(VLOOKUP(A144,Hoja2!$A$2:$C$264,3,FALSE),0)</f>
        <v>6099.25</v>
      </c>
      <c r="O144" s="4">
        <v>0.7218</v>
      </c>
    </row>
    <row r="145" spans="1:15" x14ac:dyDescent="0.25">
      <c r="A145">
        <v>272</v>
      </c>
      <c r="B145" t="s">
        <v>491</v>
      </c>
      <c r="C145" t="s">
        <v>27</v>
      </c>
      <c r="D145" t="s">
        <v>452</v>
      </c>
      <c r="E145" t="s">
        <v>492</v>
      </c>
      <c r="F145" t="s">
        <v>491</v>
      </c>
      <c r="G145" t="s">
        <v>493</v>
      </c>
      <c r="H145" t="s">
        <v>494</v>
      </c>
      <c r="I145" t="s">
        <v>49</v>
      </c>
      <c r="J145">
        <v>6495.666666666667</v>
      </c>
      <c r="K145" s="3">
        <v>1</v>
      </c>
      <c r="L145" s="3">
        <v>1</v>
      </c>
      <c r="M145" s="3">
        <f>IFERROR(VLOOKUP(A145,Hoja2!$A$2:$C$264,2,FALSE),0)</f>
        <v>1304.25</v>
      </c>
      <c r="N145" s="3">
        <f>IFERROR(VLOOKUP(A145,Hoja2!$A$2:$C$264,3,FALSE),0)</f>
        <v>6526.5</v>
      </c>
      <c r="O145" s="4">
        <v>0.79526666666666668</v>
      </c>
    </row>
    <row r="146" spans="1:15" x14ac:dyDescent="0.25">
      <c r="A146">
        <v>273</v>
      </c>
      <c r="B146" t="s">
        <v>467</v>
      </c>
      <c r="C146" t="s">
        <v>81</v>
      </c>
      <c r="D146" t="s">
        <v>18</v>
      </c>
      <c r="E146" t="s">
        <v>467</v>
      </c>
      <c r="F146" t="s">
        <v>467</v>
      </c>
      <c r="G146" t="s">
        <v>495</v>
      </c>
      <c r="H146" t="s">
        <v>496</v>
      </c>
      <c r="I146" t="s">
        <v>15</v>
      </c>
      <c r="J146">
        <v>4333.333333333333</v>
      </c>
      <c r="K146" s="3">
        <v>2</v>
      </c>
      <c r="L146" s="3">
        <v>1</v>
      </c>
      <c r="M146" s="3">
        <f>IFERROR(VLOOKUP(A146,Hoja2!$A$2:$C$264,2,FALSE),0)</f>
        <v>735.27272727272725</v>
      </c>
      <c r="N146" s="3">
        <f>IFERROR(VLOOKUP(A146,Hoja2!$A$2:$C$264,3,FALSE),0)</f>
        <v>5916</v>
      </c>
      <c r="O146" s="4">
        <v>0.75959999999999994</v>
      </c>
    </row>
    <row r="147" spans="1:15" x14ac:dyDescent="0.25">
      <c r="A147">
        <v>274</v>
      </c>
      <c r="B147" t="s">
        <v>497</v>
      </c>
      <c r="C147" t="s">
        <v>41</v>
      </c>
      <c r="D147" t="s">
        <v>407</v>
      </c>
      <c r="E147" t="s">
        <v>497</v>
      </c>
      <c r="F147" t="s">
        <v>497</v>
      </c>
      <c r="G147" t="s">
        <v>498</v>
      </c>
      <c r="H147" t="s">
        <v>499</v>
      </c>
      <c r="I147" t="s">
        <v>183</v>
      </c>
      <c r="J147">
        <v>8246.3333333333339</v>
      </c>
      <c r="K147" s="3">
        <v>2</v>
      </c>
      <c r="L147" s="3">
        <v>2</v>
      </c>
      <c r="M147" s="3">
        <f>IFERROR(VLOOKUP(A147,Hoja2!$A$2:$C$264,2,FALSE),0)</f>
        <v>1584.2222222222222</v>
      </c>
      <c r="N147" s="3">
        <f>IFERROR(VLOOKUP(A147,Hoja2!$A$2:$C$264,3,FALSE),0)</f>
        <v>9282.25</v>
      </c>
      <c r="O147" s="4">
        <v>0.54526666666666668</v>
      </c>
    </row>
    <row r="148" spans="1:15" x14ac:dyDescent="0.25">
      <c r="A148">
        <v>275</v>
      </c>
      <c r="B148" t="s">
        <v>500</v>
      </c>
      <c r="C148" t="s">
        <v>27</v>
      </c>
      <c r="D148" t="s">
        <v>18</v>
      </c>
      <c r="E148" t="s">
        <v>501</v>
      </c>
      <c r="F148" t="s">
        <v>500</v>
      </c>
      <c r="G148" t="s">
        <v>502</v>
      </c>
      <c r="H148" t="s">
        <v>503</v>
      </c>
      <c r="I148" t="s">
        <v>183</v>
      </c>
      <c r="J148">
        <v>7717.666666666667</v>
      </c>
      <c r="K148" s="3">
        <v>3</v>
      </c>
      <c r="L148" s="3">
        <v>1</v>
      </c>
      <c r="M148" s="3">
        <f>IFERROR(VLOOKUP(A148,Hoja2!$A$2:$C$264,2,FALSE),0)</f>
        <v>1791.4444444444443</v>
      </c>
      <c r="N148" s="3">
        <f>IFERROR(VLOOKUP(A148,Hoja2!$A$2:$C$264,3,FALSE),0)</f>
        <v>10317</v>
      </c>
      <c r="O148" s="4">
        <v>0.47349999999999998</v>
      </c>
    </row>
    <row r="149" spans="1:15" x14ac:dyDescent="0.25">
      <c r="A149">
        <v>276</v>
      </c>
      <c r="B149" t="s">
        <v>504</v>
      </c>
      <c r="C149" t="s">
        <v>27</v>
      </c>
      <c r="D149" t="s">
        <v>18</v>
      </c>
      <c r="E149" t="s">
        <v>504</v>
      </c>
      <c r="F149" t="s">
        <v>504</v>
      </c>
      <c r="G149" t="s">
        <v>505</v>
      </c>
      <c r="H149" t="s">
        <v>506</v>
      </c>
      <c r="I149" t="s">
        <v>49</v>
      </c>
      <c r="J149">
        <v>5450</v>
      </c>
      <c r="K149" s="3">
        <v>2</v>
      </c>
      <c r="L149" s="3">
        <v>1</v>
      </c>
      <c r="M149" s="3">
        <f>IFERROR(VLOOKUP(A149,Hoja2!$A$2:$C$264,2,FALSE),0)</f>
        <v>949</v>
      </c>
      <c r="N149" s="3">
        <f>IFERROR(VLOOKUP(A149,Hoja2!$A$2:$C$264,3,FALSE),0)</f>
        <v>6339</v>
      </c>
      <c r="O149" s="4">
        <v>0.60639999999999994</v>
      </c>
    </row>
    <row r="150" spans="1:15" x14ac:dyDescent="0.25">
      <c r="A150">
        <v>277</v>
      </c>
      <c r="B150" t="s">
        <v>418</v>
      </c>
      <c r="C150" t="s">
        <v>27</v>
      </c>
      <c r="D150" t="s">
        <v>418</v>
      </c>
      <c r="E150" t="s">
        <v>418</v>
      </c>
      <c r="F150" t="s">
        <v>418</v>
      </c>
      <c r="G150" t="s">
        <v>507</v>
      </c>
      <c r="H150" t="s">
        <v>508</v>
      </c>
      <c r="I150" t="s">
        <v>66</v>
      </c>
      <c r="J150">
        <v>6600.666666666667</v>
      </c>
      <c r="K150" s="3">
        <v>3</v>
      </c>
      <c r="L150" s="3">
        <v>1</v>
      </c>
      <c r="M150" s="3">
        <f>IFERROR(VLOOKUP(A150,Hoja2!$A$2:$C$264,2,FALSE),0)</f>
        <v>1604.5</v>
      </c>
      <c r="N150" s="3">
        <f>IFERROR(VLOOKUP(A150,Hoja2!$A$2:$C$264,3,FALSE),0)</f>
        <v>7826.75</v>
      </c>
      <c r="O150" s="4">
        <v>0.76149999999999995</v>
      </c>
    </row>
    <row r="151" spans="1:15" x14ac:dyDescent="0.25">
      <c r="A151">
        <v>281</v>
      </c>
      <c r="B151" t="s">
        <v>509</v>
      </c>
      <c r="C151" t="s">
        <v>41</v>
      </c>
      <c r="D151" t="s">
        <v>418</v>
      </c>
      <c r="E151" t="s">
        <v>509</v>
      </c>
      <c r="F151" t="s">
        <v>509</v>
      </c>
      <c r="G151" t="s">
        <v>510</v>
      </c>
      <c r="H151" t="s">
        <v>511</v>
      </c>
      <c r="I151" t="s">
        <v>66</v>
      </c>
      <c r="J151">
        <v>10105</v>
      </c>
      <c r="K151" s="3">
        <v>2</v>
      </c>
      <c r="L151" s="3">
        <v>1</v>
      </c>
      <c r="M151" s="3">
        <f>IFERROR(VLOOKUP(A151,Hoja2!$A$2:$C$264,2,FALSE),0)</f>
        <v>1282.625</v>
      </c>
      <c r="N151" s="3">
        <f>IFERROR(VLOOKUP(A151,Hoja2!$A$2:$C$264,3,FALSE),0)</f>
        <v>7609.25</v>
      </c>
      <c r="O151" s="4">
        <v>0.83413333333333328</v>
      </c>
    </row>
    <row r="152" spans="1:15" x14ac:dyDescent="0.25">
      <c r="A152">
        <v>284</v>
      </c>
      <c r="B152" t="s">
        <v>512</v>
      </c>
      <c r="C152" t="s">
        <v>81</v>
      </c>
      <c r="D152" t="s">
        <v>18</v>
      </c>
      <c r="E152" t="s">
        <v>18</v>
      </c>
      <c r="F152" t="s">
        <v>247</v>
      </c>
      <c r="G152" t="s">
        <v>513</v>
      </c>
      <c r="H152" t="s">
        <v>514</v>
      </c>
      <c r="I152" t="s">
        <v>66</v>
      </c>
      <c r="J152">
        <v>7187</v>
      </c>
      <c r="K152" s="3">
        <v>4</v>
      </c>
      <c r="L152" s="3">
        <v>2</v>
      </c>
      <c r="M152" s="3">
        <f>IFERROR(VLOOKUP(A152,Hoja2!$A$2:$C$264,2,FALSE),0)</f>
        <v>2123.6</v>
      </c>
      <c r="N152" s="3">
        <f>IFERROR(VLOOKUP(A152,Hoja2!$A$2:$C$264,3,FALSE),0)</f>
        <v>9950.25</v>
      </c>
      <c r="O152" s="4">
        <v>0.7286999999999999</v>
      </c>
    </row>
    <row r="153" spans="1:15" x14ac:dyDescent="0.25">
      <c r="A153">
        <v>285</v>
      </c>
      <c r="B153" t="s">
        <v>515</v>
      </c>
      <c r="C153" t="s">
        <v>41</v>
      </c>
      <c r="D153" t="s">
        <v>516</v>
      </c>
      <c r="E153" t="s">
        <v>515</v>
      </c>
      <c r="F153" t="s">
        <v>515</v>
      </c>
      <c r="G153" t="s">
        <v>517</v>
      </c>
      <c r="H153" t="s">
        <v>518</v>
      </c>
      <c r="I153" t="s">
        <v>300</v>
      </c>
      <c r="J153">
        <v>12662.333333333334</v>
      </c>
      <c r="K153" s="3">
        <v>6</v>
      </c>
      <c r="L153" s="3">
        <v>3</v>
      </c>
      <c r="M153" s="3">
        <f>IFERROR(VLOOKUP(A153,Hoja2!$A$2:$C$264,2,FALSE),0)</f>
        <v>2683</v>
      </c>
      <c r="N153" s="3">
        <f>IFERROR(VLOOKUP(A153,Hoja2!$A$2:$C$264,3,FALSE),0)</f>
        <v>17360</v>
      </c>
      <c r="O153" s="4">
        <v>0.36783333333333329</v>
      </c>
    </row>
    <row r="154" spans="1:15" x14ac:dyDescent="0.25">
      <c r="A154">
        <v>286</v>
      </c>
      <c r="B154" t="s">
        <v>519</v>
      </c>
      <c r="C154" t="s">
        <v>68</v>
      </c>
      <c r="D154" t="s">
        <v>18</v>
      </c>
      <c r="E154" t="s">
        <v>18</v>
      </c>
      <c r="F154" t="s">
        <v>19</v>
      </c>
      <c r="G154" t="s">
        <v>520</v>
      </c>
      <c r="H154" t="s">
        <v>521</v>
      </c>
      <c r="I154" t="s">
        <v>15</v>
      </c>
      <c r="J154">
        <v>2977</v>
      </c>
      <c r="K154" s="3">
        <v>1</v>
      </c>
      <c r="L154" s="3">
        <v>0</v>
      </c>
      <c r="M154" s="3">
        <f>IFERROR(VLOOKUP(A154,Hoja2!$A$2:$C$264,2,FALSE),0)</f>
        <v>568.4</v>
      </c>
      <c r="N154" s="3">
        <f>IFERROR(VLOOKUP(A154,Hoja2!$A$2:$C$264,3,FALSE),0)</f>
        <v>3485.5</v>
      </c>
      <c r="O154" s="4">
        <v>0.79289999999999994</v>
      </c>
    </row>
    <row r="155" spans="1:15" x14ac:dyDescent="0.25">
      <c r="A155">
        <v>287</v>
      </c>
      <c r="B155" t="s">
        <v>522</v>
      </c>
      <c r="C155" t="s">
        <v>41</v>
      </c>
      <c r="D155" t="s">
        <v>516</v>
      </c>
      <c r="E155" t="s">
        <v>515</v>
      </c>
      <c r="F155" t="s">
        <v>515</v>
      </c>
      <c r="G155" t="s">
        <v>523</v>
      </c>
      <c r="H155" t="s">
        <v>524</v>
      </c>
      <c r="I155" t="s">
        <v>49</v>
      </c>
      <c r="J155">
        <v>5455.333333333333</v>
      </c>
      <c r="K155" s="3">
        <v>1</v>
      </c>
      <c r="L155" s="3">
        <v>1</v>
      </c>
      <c r="M155" s="3">
        <f>IFERROR(VLOOKUP(A155,Hoja2!$A$2:$C$264,2,FALSE),0)</f>
        <v>1089.8</v>
      </c>
      <c r="N155" s="3">
        <f>IFERROR(VLOOKUP(A155,Hoja2!$A$2:$C$264,3,FALSE),0)</f>
        <v>6835.5</v>
      </c>
      <c r="O155" s="4">
        <v>0.53986666666666661</v>
      </c>
    </row>
    <row r="156" spans="1:15" x14ac:dyDescent="0.25">
      <c r="A156">
        <v>288</v>
      </c>
      <c r="B156" t="s">
        <v>525</v>
      </c>
      <c r="C156" t="s">
        <v>41</v>
      </c>
      <c r="D156" t="s">
        <v>516</v>
      </c>
      <c r="E156" t="s">
        <v>515</v>
      </c>
      <c r="F156" t="s">
        <v>526</v>
      </c>
      <c r="G156" t="s">
        <v>527</v>
      </c>
      <c r="H156" t="s">
        <v>528</v>
      </c>
      <c r="I156" t="s">
        <v>49</v>
      </c>
      <c r="J156">
        <v>4560.666666666667</v>
      </c>
      <c r="K156" s="3">
        <v>1</v>
      </c>
      <c r="L156" s="3">
        <v>1</v>
      </c>
      <c r="M156" s="3">
        <f>IFERROR(VLOOKUP(A156,Hoja2!$A$2:$C$264,2,FALSE),0)</f>
        <v>837.875</v>
      </c>
      <c r="N156" s="3">
        <f>IFERROR(VLOOKUP(A156,Hoja2!$A$2:$C$264,3,FALSE),0)</f>
        <v>4699</v>
      </c>
      <c r="O156" s="4">
        <v>0.45596666666666669</v>
      </c>
    </row>
    <row r="157" spans="1:15" x14ac:dyDescent="0.25">
      <c r="A157">
        <v>291</v>
      </c>
      <c r="B157" t="s">
        <v>529</v>
      </c>
      <c r="C157" t="s">
        <v>27</v>
      </c>
      <c r="D157" t="s">
        <v>28</v>
      </c>
      <c r="E157" t="s">
        <v>529</v>
      </c>
      <c r="F157" t="s">
        <v>529</v>
      </c>
      <c r="G157" t="s">
        <v>530</v>
      </c>
      <c r="H157" t="s">
        <v>531</v>
      </c>
      <c r="I157" t="s">
        <v>15</v>
      </c>
      <c r="J157">
        <v>3733</v>
      </c>
      <c r="K157" s="3">
        <v>1</v>
      </c>
      <c r="L157" s="3">
        <v>0</v>
      </c>
      <c r="M157" s="3">
        <f>IFERROR(VLOOKUP(A157,Hoja2!$A$2:$C$264,2,FALSE),0)</f>
        <v>669.22222222222217</v>
      </c>
      <c r="N157" s="3">
        <f>IFERROR(VLOOKUP(A157,Hoja2!$A$2:$C$264,3,FALSE),0)</f>
        <v>4169</v>
      </c>
      <c r="O157" s="4">
        <v>0.74350000000000005</v>
      </c>
    </row>
    <row r="158" spans="1:15" x14ac:dyDescent="0.25">
      <c r="A158">
        <v>295</v>
      </c>
      <c r="B158" t="s">
        <v>532</v>
      </c>
      <c r="C158" t="s">
        <v>27</v>
      </c>
      <c r="D158" t="s">
        <v>452</v>
      </c>
      <c r="E158" t="s">
        <v>492</v>
      </c>
      <c r="F158" t="s">
        <v>532</v>
      </c>
      <c r="G158" t="s">
        <v>533</v>
      </c>
      <c r="H158" t="s">
        <v>534</v>
      </c>
      <c r="I158" t="s">
        <v>66</v>
      </c>
      <c r="J158">
        <v>10623</v>
      </c>
      <c r="K158" s="3">
        <v>4</v>
      </c>
      <c r="L158" s="3">
        <v>2</v>
      </c>
      <c r="M158" s="3">
        <f>IFERROR(VLOOKUP(A158,Hoja2!$A$2:$C$264,2,FALSE),0)</f>
        <v>1618.1111111111111</v>
      </c>
      <c r="N158" s="3">
        <f>IFERROR(VLOOKUP(A158,Hoja2!$A$2:$C$264,3,FALSE),0)</f>
        <v>9926</v>
      </c>
      <c r="O158" s="4">
        <v>0.7835333333333333</v>
      </c>
    </row>
    <row r="159" spans="1:15" x14ac:dyDescent="0.25">
      <c r="A159">
        <v>297</v>
      </c>
      <c r="B159" t="s">
        <v>535</v>
      </c>
      <c r="C159" t="s">
        <v>27</v>
      </c>
      <c r="D159" t="s">
        <v>452</v>
      </c>
      <c r="E159" t="s">
        <v>492</v>
      </c>
      <c r="F159" t="s">
        <v>532</v>
      </c>
      <c r="G159" t="s">
        <v>536</v>
      </c>
      <c r="H159" t="s">
        <v>537</v>
      </c>
      <c r="I159" t="s">
        <v>15</v>
      </c>
      <c r="J159">
        <v>4879.666666666667</v>
      </c>
      <c r="K159" s="3">
        <v>2</v>
      </c>
      <c r="L159" s="3">
        <v>1</v>
      </c>
      <c r="M159" s="3">
        <f>IFERROR(VLOOKUP(A159,Hoja2!$A$2:$C$264,2,FALSE),0)</f>
        <v>900.55555555555554</v>
      </c>
      <c r="N159" s="3">
        <f>IFERROR(VLOOKUP(A159,Hoja2!$A$2:$C$264,3,FALSE),0)</f>
        <v>5842.5</v>
      </c>
      <c r="O159" s="4">
        <v>0.94099999999999995</v>
      </c>
    </row>
    <row r="160" spans="1:15" x14ac:dyDescent="0.25">
      <c r="A160">
        <v>299</v>
      </c>
      <c r="B160" t="s">
        <v>538</v>
      </c>
      <c r="C160" t="s">
        <v>320</v>
      </c>
      <c r="D160" t="s">
        <v>539</v>
      </c>
      <c r="E160" t="s">
        <v>540</v>
      </c>
      <c r="F160" t="s">
        <v>540</v>
      </c>
      <c r="G160" t="s">
        <v>541</v>
      </c>
      <c r="H160" t="s">
        <v>542</v>
      </c>
      <c r="I160" t="s">
        <v>15</v>
      </c>
      <c r="J160">
        <v>4907</v>
      </c>
      <c r="K160" s="3">
        <v>1</v>
      </c>
      <c r="L160" s="3">
        <v>1</v>
      </c>
      <c r="M160" s="3">
        <f>IFERROR(VLOOKUP(A160,Hoja2!$A$2:$C$264,2,FALSE),0)</f>
        <v>474.3</v>
      </c>
      <c r="N160" s="3">
        <f>IFERROR(VLOOKUP(A160,Hoja2!$A$2:$C$264,3,FALSE),0)</f>
        <v>3993.25</v>
      </c>
      <c r="O160" s="4">
        <v>0.82036666666666669</v>
      </c>
    </row>
    <row r="161" spans="1:15" x14ac:dyDescent="0.25">
      <c r="A161">
        <v>301</v>
      </c>
      <c r="B161" t="s">
        <v>543</v>
      </c>
      <c r="C161" t="s">
        <v>320</v>
      </c>
      <c r="D161" t="s">
        <v>544</v>
      </c>
      <c r="E161" t="s">
        <v>545</v>
      </c>
      <c r="F161" t="s">
        <v>543</v>
      </c>
      <c r="G161" t="s">
        <v>546</v>
      </c>
      <c r="H161" t="s">
        <v>547</v>
      </c>
      <c r="I161" t="s">
        <v>548</v>
      </c>
      <c r="J161">
        <v>15458.666666666666</v>
      </c>
      <c r="K161" s="3">
        <v>4</v>
      </c>
      <c r="L161" s="3">
        <v>2</v>
      </c>
      <c r="M161" s="3">
        <f>IFERROR(VLOOKUP(A161,Hoja2!$A$2:$C$264,2,FALSE),0)</f>
        <v>1728.9166666666667</v>
      </c>
      <c r="N161" s="3">
        <f>IFERROR(VLOOKUP(A161,Hoja2!$A$2:$C$264,3,FALSE),0)</f>
        <v>14124.25</v>
      </c>
      <c r="O161" s="4">
        <v>0.48110000000000003</v>
      </c>
    </row>
    <row r="162" spans="1:15" x14ac:dyDescent="0.25">
      <c r="A162">
        <v>304</v>
      </c>
      <c r="B162" t="s">
        <v>549</v>
      </c>
      <c r="C162" t="s">
        <v>320</v>
      </c>
      <c r="D162" t="s">
        <v>544</v>
      </c>
      <c r="E162" t="s">
        <v>545</v>
      </c>
      <c r="F162" t="s">
        <v>543</v>
      </c>
      <c r="G162" t="s">
        <v>550</v>
      </c>
      <c r="H162" t="s">
        <v>551</v>
      </c>
      <c r="I162" t="s">
        <v>49</v>
      </c>
      <c r="J162">
        <v>7268.666666666667</v>
      </c>
      <c r="K162" s="3">
        <v>2</v>
      </c>
      <c r="L162" s="3">
        <v>1</v>
      </c>
      <c r="M162" s="3">
        <f>IFERROR(VLOOKUP(A162,Hoja2!$A$2:$C$264,2,FALSE),0)</f>
        <v>991.5</v>
      </c>
      <c r="N162" s="3">
        <f>IFERROR(VLOOKUP(A162,Hoja2!$A$2:$C$264,3,FALSE),0)</f>
        <v>7129.25</v>
      </c>
      <c r="O162" s="4">
        <v>0.39050000000000001</v>
      </c>
    </row>
    <row r="163" spans="1:15" x14ac:dyDescent="0.25">
      <c r="A163">
        <v>306</v>
      </c>
      <c r="B163" t="s">
        <v>552</v>
      </c>
      <c r="C163" t="s">
        <v>320</v>
      </c>
      <c r="D163" t="s">
        <v>372</v>
      </c>
      <c r="E163" t="s">
        <v>373</v>
      </c>
      <c r="F163" t="s">
        <v>374</v>
      </c>
      <c r="G163" t="s">
        <v>553</v>
      </c>
      <c r="H163" t="s">
        <v>554</v>
      </c>
      <c r="I163" t="s">
        <v>66</v>
      </c>
      <c r="J163">
        <v>7906.333333333333</v>
      </c>
      <c r="K163" s="3">
        <v>3</v>
      </c>
      <c r="L163" s="3">
        <v>2</v>
      </c>
      <c r="M163" s="3">
        <f>IFERROR(VLOOKUP(A163,Hoja2!$A$2:$C$264,2,FALSE),0)</f>
        <v>1404.6666666666667</v>
      </c>
      <c r="N163" s="3">
        <f>IFERROR(VLOOKUP(A163,Hoja2!$A$2:$C$264,3,FALSE),0)</f>
        <v>7855.75</v>
      </c>
      <c r="O163" s="4">
        <v>0.68176666666666674</v>
      </c>
    </row>
    <row r="164" spans="1:15" x14ac:dyDescent="0.25">
      <c r="A164">
        <v>310</v>
      </c>
      <c r="B164" t="s">
        <v>555</v>
      </c>
      <c r="C164" t="s">
        <v>320</v>
      </c>
      <c r="D164" t="s">
        <v>539</v>
      </c>
      <c r="E164" t="s">
        <v>539</v>
      </c>
      <c r="F164" t="s">
        <v>555</v>
      </c>
      <c r="G164" t="s">
        <v>556</v>
      </c>
      <c r="H164" t="s">
        <v>557</v>
      </c>
      <c r="I164" t="s">
        <v>104</v>
      </c>
      <c r="J164">
        <v>12651</v>
      </c>
      <c r="K164" s="3">
        <v>3</v>
      </c>
      <c r="L164" s="3">
        <v>1</v>
      </c>
      <c r="M164" s="3">
        <f>IFERROR(VLOOKUP(A164,Hoja2!$A$2:$C$264,2,FALSE),0)</f>
        <v>1403.3</v>
      </c>
      <c r="N164" s="3">
        <f>IFERROR(VLOOKUP(A164,Hoja2!$A$2:$C$264,3,FALSE),0)</f>
        <v>9581</v>
      </c>
      <c r="O164" s="4">
        <v>0.82386666666666664</v>
      </c>
    </row>
    <row r="165" spans="1:15" x14ac:dyDescent="0.25">
      <c r="A165">
        <v>312</v>
      </c>
      <c r="B165" t="s">
        <v>558</v>
      </c>
      <c r="C165" t="s">
        <v>81</v>
      </c>
      <c r="D165" t="s">
        <v>18</v>
      </c>
      <c r="E165" t="s">
        <v>18</v>
      </c>
      <c r="F165" t="s">
        <v>80</v>
      </c>
      <c r="G165" t="s">
        <v>559</v>
      </c>
      <c r="H165" t="s">
        <v>560</v>
      </c>
      <c r="I165" t="s">
        <v>15</v>
      </c>
      <c r="J165">
        <v>3570.6666666666665</v>
      </c>
      <c r="K165" s="3">
        <v>1</v>
      </c>
      <c r="L165" s="3">
        <v>1</v>
      </c>
      <c r="M165" s="3">
        <f>IFERROR(VLOOKUP(A165,Hoja2!$A$2:$C$264,2,FALSE),0)</f>
        <v>1055.7777777777778</v>
      </c>
      <c r="N165" s="3">
        <f>IFERROR(VLOOKUP(A165,Hoja2!$A$2:$C$264,3,FALSE),0)</f>
        <v>5040.5</v>
      </c>
      <c r="O165" s="4">
        <v>0.83726666666666671</v>
      </c>
    </row>
    <row r="166" spans="1:15" x14ac:dyDescent="0.25">
      <c r="A166">
        <v>314</v>
      </c>
      <c r="B166" t="s">
        <v>561</v>
      </c>
      <c r="C166" t="s">
        <v>320</v>
      </c>
      <c r="D166" t="s">
        <v>539</v>
      </c>
      <c r="E166" t="s">
        <v>561</v>
      </c>
      <c r="F166" t="s">
        <v>561</v>
      </c>
      <c r="G166" t="s">
        <v>562</v>
      </c>
      <c r="H166" t="s">
        <v>563</v>
      </c>
      <c r="I166" t="s">
        <v>49</v>
      </c>
      <c r="J166">
        <v>5394</v>
      </c>
      <c r="K166" s="3">
        <v>2</v>
      </c>
      <c r="L166" s="3">
        <v>1</v>
      </c>
      <c r="M166" s="3">
        <f>IFERROR(VLOOKUP(A166,Hoja2!$A$2:$C$264,2,FALSE),0)</f>
        <v>762.18181818181813</v>
      </c>
      <c r="N166" s="3">
        <f>IFERROR(VLOOKUP(A166,Hoja2!$A$2:$C$264,3,FALSE),0)</f>
        <v>6345.75</v>
      </c>
      <c r="O166" s="4">
        <v>0.8362666666666666</v>
      </c>
    </row>
    <row r="167" spans="1:15" x14ac:dyDescent="0.25">
      <c r="A167">
        <v>315</v>
      </c>
      <c r="B167" t="s">
        <v>564</v>
      </c>
      <c r="C167" t="s">
        <v>68</v>
      </c>
      <c r="D167" t="s">
        <v>18</v>
      </c>
      <c r="E167" t="s">
        <v>18</v>
      </c>
      <c r="F167" t="s">
        <v>140</v>
      </c>
      <c r="G167" t="s">
        <v>565</v>
      </c>
      <c r="H167" t="s">
        <v>566</v>
      </c>
      <c r="I167" t="s">
        <v>34</v>
      </c>
      <c r="J167">
        <v>209.66666666666666</v>
      </c>
      <c r="K167" s="3">
        <v>1</v>
      </c>
      <c r="L167" s="3">
        <v>0</v>
      </c>
      <c r="M167" s="3">
        <f>IFERROR(VLOOKUP(A167,Hoja2!$A$2:$C$264,2,FALSE),0)</f>
        <v>0</v>
      </c>
      <c r="N167" s="3">
        <f>IFERROR(VLOOKUP(A167,Hoja2!$A$2:$C$264,3,FALSE),0)</f>
        <v>0</v>
      </c>
      <c r="O167" s="4">
        <v>0</v>
      </c>
    </row>
    <row r="168" spans="1:15" x14ac:dyDescent="0.25">
      <c r="A168">
        <v>316</v>
      </c>
      <c r="B168" t="s">
        <v>567</v>
      </c>
      <c r="C168" t="s">
        <v>81</v>
      </c>
      <c r="D168" t="s">
        <v>18</v>
      </c>
      <c r="E168" t="s">
        <v>18</v>
      </c>
      <c r="F168" t="s">
        <v>567</v>
      </c>
      <c r="G168" t="s">
        <v>568</v>
      </c>
      <c r="H168" t="s">
        <v>569</v>
      </c>
      <c r="I168" t="s">
        <v>66</v>
      </c>
      <c r="J168">
        <v>6921.666666666667</v>
      </c>
      <c r="K168" s="3">
        <v>2</v>
      </c>
      <c r="L168" s="3">
        <v>2</v>
      </c>
      <c r="M168" s="3">
        <f>IFERROR(VLOOKUP(A168,Hoja2!$A$2:$C$264,2,FALSE),0)</f>
        <v>1688.7777777777778</v>
      </c>
      <c r="N168" s="3">
        <f>IFERROR(VLOOKUP(A168,Hoja2!$A$2:$C$264,3,FALSE),0)</f>
        <v>7240.25</v>
      </c>
      <c r="O168" s="4">
        <v>0.84813333333333329</v>
      </c>
    </row>
    <row r="169" spans="1:15" x14ac:dyDescent="0.25">
      <c r="A169">
        <v>317</v>
      </c>
      <c r="B169" t="s">
        <v>570</v>
      </c>
      <c r="C169" t="s">
        <v>36</v>
      </c>
      <c r="D169" t="s">
        <v>18</v>
      </c>
      <c r="E169" t="s">
        <v>18</v>
      </c>
      <c r="F169" t="s">
        <v>116</v>
      </c>
      <c r="G169" t="s">
        <v>571</v>
      </c>
      <c r="H169" t="s">
        <v>572</v>
      </c>
      <c r="I169" t="s">
        <v>49</v>
      </c>
      <c r="J169">
        <v>5386.333333333333</v>
      </c>
      <c r="K169" s="3">
        <v>2</v>
      </c>
      <c r="L169" s="3">
        <v>2</v>
      </c>
      <c r="M169" s="3">
        <f>IFERROR(VLOOKUP(A169,Hoja2!$A$2:$C$264,2,FALSE),0)</f>
        <v>1497</v>
      </c>
      <c r="N169" s="3">
        <f>IFERROR(VLOOKUP(A169,Hoja2!$A$2:$C$264,3,FALSE),0)</f>
        <v>7744</v>
      </c>
      <c r="O169" s="4">
        <v>0.76836666666666664</v>
      </c>
    </row>
    <row r="170" spans="1:15" x14ac:dyDescent="0.25">
      <c r="A170">
        <v>318</v>
      </c>
      <c r="B170" t="s">
        <v>573</v>
      </c>
      <c r="C170" t="s">
        <v>320</v>
      </c>
      <c r="D170" t="s">
        <v>319</v>
      </c>
      <c r="E170" t="s">
        <v>574</v>
      </c>
      <c r="F170" t="s">
        <v>575</v>
      </c>
      <c r="G170" t="s">
        <v>576</v>
      </c>
      <c r="H170" t="s">
        <v>577</v>
      </c>
      <c r="I170" t="s">
        <v>49</v>
      </c>
      <c r="J170">
        <v>6635.666666666667</v>
      </c>
      <c r="K170" s="3">
        <v>2</v>
      </c>
      <c r="L170" s="3">
        <v>1</v>
      </c>
      <c r="M170" s="3">
        <f>IFERROR(VLOOKUP(A170,Hoja2!$A$2:$C$264,2,FALSE),0)</f>
        <v>802.90909090909088</v>
      </c>
      <c r="N170" s="3">
        <f>IFERROR(VLOOKUP(A170,Hoja2!$A$2:$C$264,3,FALSE),0)</f>
        <v>6793</v>
      </c>
      <c r="O170" s="4">
        <v>0.78303333333333336</v>
      </c>
    </row>
    <row r="171" spans="1:15" x14ac:dyDescent="0.25">
      <c r="A171">
        <v>319</v>
      </c>
      <c r="B171" t="s">
        <v>578</v>
      </c>
      <c r="C171" t="s">
        <v>81</v>
      </c>
      <c r="D171" t="s">
        <v>18</v>
      </c>
      <c r="E171" t="s">
        <v>18</v>
      </c>
      <c r="F171" t="s">
        <v>80</v>
      </c>
      <c r="G171" t="s">
        <v>579</v>
      </c>
      <c r="H171" t="s">
        <v>580</v>
      </c>
      <c r="I171" t="s">
        <v>15</v>
      </c>
      <c r="J171">
        <v>3069</v>
      </c>
      <c r="K171" s="3">
        <v>2</v>
      </c>
      <c r="L171" s="3">
        <v>1</v>
      </c>
      <c r="M171" s="3">
        <f>IFERROR(VLOOKUP(A171,Hoja2!$A$2:$C$264,2,FALSE),0)</f>
        <v>830.88888888888891</v>
      </c>
      <c r="N171" s="3">
        <f>IFERROR(VLOOKUP(A171,Hoja2!$A$2:$C$264,3,FALSE),0)</f>
        <v>4233.75</v>
      </c>
      <c r="O171" s="4">
        <v>0.9231666666666668</v>
      </c>
    </row>
    <row r="172" spans="1:15" x14ac:dyDescent="0.25">
      <c r="A172">
        <v>320</v>
      </c>
      <c r="B172" t="s">
        <v>581</v>
      </c>
      <c r="C172" t="s">
        <v>51</v>
      </c>
      <c r="D172" t="s">
        <v>18</v>
      </c>
      <c r="E172" t="s">
        <v>18</v>
      </c>
      <c r="F172" t="s">
        <v>52</v>
      </c>
      <c r="G172" t="s">
        <v>582</v>
      </c>
      <c r="H172" t="s">
        <v>583</v>
      </c>
      <c r="I172" t="s">
        <v>49</v>
      </c>
      <c r="J172">
        <v>3448</v>
      </c>
      <c r="K172" s="3">
        <v>2</v>
      </c>
      <c r="L172" s="3">
        <v>0</v>
      </c>
      <c r="M172" s="3">
        <f>IFERROR(VLOOKUP(A172,Hoja2!$A$2:$C$264,2,FALSE),0)</f>
        <v>690.66666666666663</v>
      </c>
      <c r="N172" s="3">
        <f>IFERROR(VLOOKUP(A172,Hoja2!$A$2:$C$264,3,FALSE),0)</f>
        <v>5661.5</v>
      </c>
      <c r="O172" s="4">
        <v>0.81823333333333326</v>
      </c>
    </row>
    <row r="173" spans="1:15" x14ac:dyDescent="0.25">
      <c r="A173">
        <v>321</v>
      </c>
      <c r="B173" t="s">
        <v>584</v>
      </c>
      <c r="C173" t="s">
        <v>11</v>
      </c>
      <c r="D173" t="s">
        <v>585</v>
      </c>
      <c r="E173" t="s">
        <v>585</v>
      </c>
      <c r="F173" t="s">
        <v>586</v>
      </c>
      <c r="G173" t="s">
        <v>587</v>
      </c>
      <c r="H173" t="s">
        <v>588</v>
      </c>
      <c r="I173" t="s">
        <v>49</v>
      </c>
      <c r="J173">
        <v>5447.666666666667</v>
      </c>
      <c r="K173" s="3">
        <v>4</v>
      </c>
      <c r="L173" s="3">
        <v>1</v>
      </c>
      <c r="M173" s="3">
        <f>IFERROR(VLOOKUP(A173,Hoja2!$A$2:$C$264,2,FALSE),0)</f>
        <v>1196.7777777777778</v>
      </c>
      <c r="N173" s="3">
        <f>IFERROR(VLOOKUP(A173,Hoja2!$A$2:$C$264,3,FALSE),0)</f>
        <v>7239.25</v>
      </c>
      <c r="O173" s="4">
        <v>0.69926666666666659</v>
      </c>
    </row>
    <row r="174" spans="1:15" x14ac:dyDescent="0.25">
      <c r="A174">
        <v>322</v>
      </c>
      <c r="B174" t="s">
        <v>589</v>
      </c>
      <c r="C174" t="s">
        <v>56</v>
      </c>
      <c r="D174" t="s">
        <v>18</v>
      </c>
      <c r="E174" t="s">
        <v>18</v>
      </c>
      <c r="F174" t="s">
        <v>136</v>
      </c>
      <c r="G174" t="s">
        <v>590</v>
      </c>
      <c r="H174" t="s">
        <v>591</v>
      </c>
      <c r="I174" t="s">
        <v>15</v>
      </c>
      <c r="J174">
        <v>2588.6666666666665</v>
      </c>
      <c r="K174" s="3">
        <v>1</v>
      </c>
      <c r="L174" s="3">
        <v>0</v>
      </c>
      <c r="M174" s="3">
        <f>IFERROR(VLOOKUP(A174,Hoja2!$A$2:$C$264,2,FALSE),0)</f>
        <v>672.75</v>
      </c>
      <c r="N174" s="3">
        <f>IFERROR(VLOOKUP(A174,Hoja2!$A$2:$C$264,3,FALSE),0)</f>
        <v>2983.75</v>
      </c>
      <c r="O174" s="4">
        <v>0.84826666666666661</v>
      </c>
    </row>
    <row r="175" spans="1:15" x14ac:dyDescent="0.25">
      <c r="A175">
        <v>323</v>
      </c>
      <c r="B175" t="s">
        <v>37</v>
      </c>
      <c r="C175" t="s">
        <v>36</v>
      </c>
      <c r="D175" t="s">
        <v>18</v>
      </c>
      <c r="E175" t="s">
        <v>18</v>
      </c>
      <c r="F175" t="s">
        <v>37</v>
      </c>
      <c r="G175" t="s">
        <v>592</v>
      </c>
      <c r="H175" t="s">
        <v>593</v>
      </c>
      <c r="I175" t="s">
        <v>49</v>
      </c>
      <c r="J175">
        <v>3494.6666666666665</v>
      </c>
      <c r="K175" s="3">
        <v>2</v>
      </c>
      <c r="L175" s="3">
        <v>1</v>
      </c>
      <c r="M175" s="3">
        <f>IFERROR(VLOOKUP(A175,Hoja2!$A$2:$C$264,2,FALSE),0)</f>
        <v>1632.1111111111111</v>
      </c>
      <c r="N175" s="3">
        <f>IFERROR(VLOOKUP(A175,Hoja2!$A$2:$C$264,3,FALSE),0)</f>
        <v>7304.25</v>
      </c>
      <c r="O175" s="4">
        <v>0.9570333333333334</v>
      </c>
    </row>
    <row r="176" spans="1:15" x14ac:dyDescent="0.25">
      <c r="A176">
        <v>324</v>
      </c>
      <c r="B176" t="s">
        <v>594</v>
      </c>
      <c r="C176" t="s">
        <v>320</v>
      </c>
      <c r="D176" t="s">
        <v>544</v>
      </c>
      <c r="E176" t="s">
        <v>595</v>
      </c>
      <c r="F176" t="s">
        <v>594</v>
      </c>
      <c r="G176" t="s">
        <v>596</v>
      </c>
      <c r="H176" t="s">
        <v>597</v>
      </c>
      <c r="I176" t="s">
        <v>49</v>
      </c>
      <c r="J176">
        <v>5885.666666666667</v>
      </c>
      <c r="K176" s="3">
        <v>1</v>
      </c>
      <c r="L176" s="3">
        <v>1</v>
      </c>
      <c r="M176" s="3">
        <f>IFERROR(VLOOKUP(A176,Hoja2!$A$2:$C$264,2,FALSE),0)</f>
        <v>824</v>
      </c>
      <c r="N176" s="3">
        <f>IFERROR(VLOOKUP(A176,Hoja2!$A$2:$C$264,3,FALSE),0)</f>
        <v>5514.25</v>
      </c>
      <c r="O176" s="4">
        <v>0.84409999999999996</v>
      </c>
    </row>
    <row r="177" spans="1:15" x14ac:dyDescent="0.25">
      <c r="A177">
        <v>327</v>
      </c>
      <c r="B177" t="s">
        <v>598</v>
      </c>
      <c r="C177" t="s">
        <v>320</v>
      </c>
      <c r="D177" t="s">
        <v>539</v>
      </c>
      <c r="E177" t="s">
        <v>599</v>
      </c>
      <c r="F177" t="s">
        <v>598</v>
      </c>
      <c r="G177" t="s">
        <v>600</v>
      </c>
      <c r="H177" t="s">
        <v>601</v>
      </c>
      <c r="I177" t="s">
        <v>15</v>
      </c>
      <c r="J177">
        <v>4090</v>
      </c>
      <c r="K177" s="3">
        <v>1</v>
      </c>
      <c r="L177" s="3">
        <v>1</v>
      </c>
      <c r="M177" s="3">
        <f>IFERROR(VLOOKUP(A177,Hoja2!$A$2:$C$264,2,FALSE),0)</f>
        <v>555.79999999999995</v>
      </c>
      <c r="N177" s="3">
        <f>IFERROR(VLOOKUP(A177,Hoja2!$A$2:$C$264,3,FALSE),0)</f>
        <v>4144.25</v>
      </c>
      <c r="O177" s="4">
        <v>0.80726666666666669</v>
      </c>
    </row>
    <row r="178" spans="1:15" x14ac:dyDescent="0.25">
      <c r="A178">
        <v>332</v>
      </c>
      <c r="B178" t="s">
        <v>602</v>
      </c>
      <c r="C178" t="s">
        <v>68</v>
      </c>
      <c r="D178" t="s">
        <v>18</v>
      </c>
      <c r="E178" t="s">
        <v>18</v>
      </c>
      <c r="F178" t="s">
        <v>269</v>
      </c>
      <c r="G178" t="s">
        <v>603</v>
      </c>
      <c r="H178" t="s">
        <v>604</v>
      </c>
      <c r="I178" t="s">
        <v>66</v>
      </c>
      <c r="J178">
        <v>6121.333333333333</v>
      </c>
      <c r="K178" s="3">
        <v>1</v>
      </c>
      <c r="L178" s="3">
        <v>1</v>
      </c>
      <c r="M178" s="3">
        <f>IFERROR(VLOOKUP(A178,Hoja2!$A$2:$C$264,2,FALSE),0)</f>
        <v>522.4</v>
      </c>
      <c r="N178" s="3">
        <f>IFERROR(VLOOKUP(A178,Hoja2!$A$2:$C$264,3,FALSE),0)</f>
        <v>4229.25</v>
      </c>
      <c r="O178" s="4">
        <v>0.8075</v>
      </c>
    </row>
    <row r="179" spans="1:15" x14ac:dyDescent="0.25">
      <c r="A179">
        <v>123</v>
      </c>
      <c r="B179" t="s">
        <v>605</v>
      </c>
      <c r="C179" t="s">
        <v>101</v>
      </c>
      <c r="D179" t="s">
        <v>18</v>
      </c>
      <c r="E179" t="s">
        <v>18</v>
      </c>
      <c r="F179" t="s">
        <v>123</v>
      </c>
      <c r="G179" t="s">
        <v>606</v>
      </c>
      <c r="H179" t="s">
        <v>607</v>
      </c>
      <c r="I179" t="s">
        <v>15</v>
      </c>
      <c r="J179">
        <v>4481.666666666667</v>
      </c>
      <c r="K179" s="3">
        <v>2</v>
      </c>
      <c r="L179" s="3">
        <v>1</v>
      </c>
      <c r="M179" s="3">
        <f>IFERROR(VLOOKUP(A179,Hoja2!$A$2:$C$264,2,FALSE),0)</f>
        <v>672.81818181818187</v>
      </c>
      <c r="N179" s="3">
        <f>IFERROR(VLOOKUP(A179,Hoja2!$A$2:$C$264,3,FALSE),0)</f>
        <v>4528.75</v>
      </c>
      <c r="O179" s="4">
        <v>0.87246666666666661</v>
      </c>
    </row>
    <row r="180" spans="1:15" x14ac:dyDescent="0.25">
      <c r="A180">
        <v>335</v>
      </c>
      <c r="B180" t="s">
        <v>608</v>
      </c>
      <c r="C180" t="s">
        <v>68</v>
      </c>
      <c r="D180" t="s">
        <v>18</v>
      </c>
      <c r="E180" t="s">
        <v>18</v>
      </c>
      <c r="F180" t="s">
        <v>609</v>
      </c>
      <c r="G180" t="s">
        <v>610</v>
      </c>
      <c r="H180" t="s">
        <v>611</v>
      </c>
      <c r="I180" t="s">
        <v>49</v>
      </c>
      <c r="J180">
        <v>5391.666666666667</v>
      </c>
      <c r="K180" s="3">
        <v>1</v>
      </c>
      <c r="L180" s="3">
        <v>1</v>
      </c>
      <c r="M180" s="3">
        <f>IFERROR(VLOOKUP(A180,Hoja2!$A$2:$C$264,2,FALSE),0)</f>
        <v>772.6</v>
      </c>
      <c r="N180" s="3">
        <f>IFERROR(VLOOKUP(A180,Hoja2!$A$2:$C$264,3,FALSE),0)</f>
        <v>5275.75</v>
      </c>
      <c r="O180" s="4">
        <v>0.629</v>
      </c>
    </row>
    <row r="181" spans="1:15" x14ac:dyDescent="0.25">
      <c r="A181">
        <v>339</v>
      </c>
      <c r="B181" t="s">
        <v>236</v>
      </c>
      <c r="C181" t="s">
        <v>81</v>
      </c>
      <c r="D181" t="s">
        <v>18</v>
      </c>
      <c r="E181" t="s">
        <v>18</v>
      </c>
      <c r="F181" t="s">
        <v>236</v>
      </c>
      <c r="G181" t="s">
        <v>612</v>
      </c>
      <c r="H181" t="s">
        <v>613</v>
      </c>
      <c r="I181" t="s">
        <v>49</v>
      </c>
      <c r="J181">
        <v>5036.333333333333</v>
      </c>
      <c r="K181" s="3">
        <v>2</v>
      </c>
      <c r="L181" s="3">
        <v>1</v>
      </c>
      <c r="M181" s="3">
        <f>IFERROR(VLOOKUP(A181,Hoja2!$A$2:$C$264,2,FALSE),0)</f>
        <v>1766.4444444444443</v>
      </c>
      <c r="N181" s="3">
        <f>IFERROR(VLOOKUP(A181,Hoja2!$A$2:$C$264,3,FALSE),0)</f>
        <v>7858.25</v>
      </c>
      <c r="O181" s="4">
        <v>0.74366666666666681</v>
      </c>
    </row>
    <row r="182" spans="1:15" x14ac:dyDescent="0.25">
      <c r="A182">
        <v>340</v>
      </c>
      <c r="B182" t="s">
        <v>614</v>
      </c>
      <c r="C182" t="s">
        <v>51</v>
      </c>
      <c r="D182" t="s">
        <v>18</v>
      </c>
      <c r="E182" t="s">
        <v>18</v>
      </c>
      <c r="F182" t="s">
        <v>18</v>
      </c>
      <c r="G182" t="s">
        <v>615</v>
      </c>
      <c r="H182" t="s">
        <v>616</v>
      </c>
      <c r="I182" t="s">
        <v>15</v>
      </c>
      <c r="J182">
        <v>2150.6666666666665</v>
      </c>
      <c r="K182" s="3">
        <v>1</v>
      </c>
      <c r="L182" s="3">
        <v>1</v>
      </c>
      <c r="M182" s="3">
        <f>IFERROR(VLOOKUP(A182,Hoja2!$A$2:$C$264,2,FALSE),0)</f>
        <v>489.72727272727275</v>
      </c>
      <c r="N182" s="3">
        <f>IFERROR(VLOOKUP(A182,Hoja2!$A$2:$C$264,3,FALSE),0)</f>
        <v>2857</v>
      </c>
      <c r="O182" s="4">
        <v>0.89803333333333335</v>
      </c>
    </row>
    <row r="183" spans="1:15" x14ac:dyDescent="0.25">
      <c r="A183">
        <v>341</v>
      </c>
      <c r="B183" t="s">
        <v>617</v>
      </c>
      <c r="C183" t="s">
        <v>68</v>
      </c>
      <c r="D183" t="s">
        <v>18</v>
      </c>
      <c r="E183" t="s">
        <v>18</v>
      </c>
      <c r="F183" t="s">
        <v>609</v>
      </c>
      <c r="G183" t="s">
        <v>618</v>
      </c>
      <c r="H183" t="s">
        <v>619</v>
      </c>
      <c r="I183" t="s">
        <v>15</v>
      </c>
      <c r="J183">
        <v>4016.3333333333335</v>
      </c>
      <c r="K183" s="3">
        <v>1</v>
      </c>
      <c r="L183" s="3">
        <v>1</v>
      </c>
      <c r="M183" s="3">
        <f>IFERROR(VLOOKUP(A183,Hoja2!$A$2:$C$264,2,FALSE),0)</f>
        <v>711.9</v>
      </c>
      <c r="N183" s="3">
        <f>IFERROR(VLOOKUP(A183,Hoja2!$A$2:$C$264,3,FALSE),0)</f>
        <v>4373</v>
      </c>
      <c r="O183" s="4">
        <v>0.84883333333333333</v>
      </c>
    </row>
    <row r="184" spans="1:15" x14ac:dyDescent="0.25">
      <c r="A184">
        <v>342</v>
      </c>
      <c r="B184" t="s">
        <v>620</v>
      </c>
      <c r="C184" t="s">
        <v>81</v>
      </c>
      <c r="D184" t="s">
        <v>18</v>
      </c>
      <c r="E184" t="s">
        <v>18</v>
      </c>
      <c r="F184" t="s">
        <v>247</v>
      </c>
      <c r="G184" t="s">
        <v>621</v>
      </c>
      <c r="H184" t="s">
        <v>622</v>
      </c>
      <c r="I184" t="s">
        <v>15</v>
      </c>
      <c r="J184">
        <v>2504.6666666666665</v>
      </c>
      <c r="K184" s="3">
        <v>1</v>
      </c>
      <c r="L184" s="3">
        <v>1</v>
      </c>
      <c r="M184" s="3">
        <f>IFERROR(VLOOKUP(A184,Hoja2!$A$2:$C$264,2,FALSE),0)</f>
        <v>1203.2222222222222</v>
      </c>
      <c r="N184" s="3">
        <f>IFERROR(VLOOKUP(A184,Hoja2!$A$2:$C$264,3,FALSE),0)</f>
        <v>5065.75</v>
      </c>
      <c r="O184" s="4">
        <v>0.69383333333333341</v>
      </c>
    </row>
    <row r="185" spans="1:15" x14ac:dyDescent="0.25">
      <c r="A185">
        <v>344</v>
      </c>
      <c r="B185" t="s">
        <v>623</v>
      </c>
      <c r="C185" t="s">
        <v>60</v>
      </c>
      <c r="D185" t="s">
        <v>18</v>
      </c>
      <c r="E185" t="s">
        <v>18</v>
      </c>
      <c r="F185" t="s">
        <v>72</v>
      </c>
      <c r="G185" t="s">
        <v>624</v>
      </c>
      <c r="H185" t="s">
        <v>625</v>
      </c>
      <c r="I185" t="s">
        <v>34</v>
      </c>
      <c r="J185">
        <v>708.66666666666663</v>
      </c>
      <c r="K185" s="3">
        <v>0</v>
      </c>
      <c r="L185" s="3">
        <v>0</v>
      </c>
      <c r="M185" s="3">
        <f>IFERROR(VLOOKUP(A185,Hoja2!$A$2:$C$264,2,FALSE),0)</f>
        <v>0</v>
      </c>
      <c r="N185" s="3">
        <f>IFERROR(VLOOKUP(A185,Hoja2!$A$2:$C$264,3,FALSE),0)</f>
        <v>0</v>
      </c>
      <c r="O185" s="4">
        <v>0</v>
      </c>
    </row>
    <row r="186" spans="1:15" x14ac:dyDescent="0.25">
      <c r="A186">
        <v>345</v>
      </c>
      <c r="B186" t="s">
        <v>626</v>
      </c>
      <c r="C186" t="s">
        <v>68</v>
      </c>
      <c r="D186" t="s">
        <v>18</v>
      </c>
      <c r="E186" t="s">
        <v>18</v>
      </c>
      <c r="F186" t="s">
        <v>136</v>
      </c>
      <c r="G186" t="s">
        <v>627</v>
      </c>
      <c r="H186" t="s">
        <v>628</v>
      </c>
      <c r="I186" t="s">
        <v>49</v>
      </c>
      <c r="J186">
        <v>3496</v>
      </c>
      <c r="K186" s="3">
        <v>2</v>
      </c>
      <c r="L186" s="3">
        <v>1</v>
      </c>
      <c r="M186" s="3">
        <f>IFERROR(VLOOKUP(A186,Hoja2!$A$2:$C$264,2,FALSE),0)</f>
        <v>1213.125</v>
      </c>
      <c r="N186" s="3">
        <f>IFERROR(VLOOKUP(A186,Hoja2!$A$2:$C$264,3,FALSE),0)</f>
        <v>5825.25</v>
      </c>
      <c r="O186" s="4">
        <v>0.82743333333333335</v>
      </c>
    </row>
    <row r="187" spans="1:15" x14ac:dyDescent="0.25">
      <c r="A187">
        <v>346</v>
      </c>
      <c r="B187" t="s">
        <v>629</v>
      </c>
      <c r="C187" t="s">
        <v>56</v>
      </c>
      <c r="D187" t="s">
        <v>18</v>
      </c>
      <c r="E187" t="s">
        <v>18</v>
      </c>
      <c r="F187" t="s">
        <v>18</v>
      </c>
      <c r="G187" t="s">
        <v>630</v>
      </c>
      <c r="H187" t="s">
        <v>631</v>
      </c>
      <c r="I187" t="s">
        <v>49</v>
      </c>
      <c r="J187">
        <v>5655</v>
      </c>
      <c r="K187" s="3">
        <v>1</v>
      </c>
      <c r="L187" s="3">
        <v>1</v>
      </c>
      <c r="M187" s="3">
        <f>IFERROR(VLOOKUP(A187,Hoja2!$A$2:$C$264,2,FALSE),0)</f>
        <v>738.66666666666663</v>
      </c>
      <c r="N187" s="3">
        <f>IFERROR(VLOOKUP(A187,Hoja2!$A$2:$C$264,3,FALSE),0)</f>
        <v>4576</v>
      </c>
      <c r="O187" s="4">
        <v>0.52893333333333337</v>
      </c>
    </row>
    <row r="188" spans="1:15" x14ac:dyDescent="0.25">
      <c r="A188">
        <v>348</v>
      </c>
      <c r="B188" t="s">
        <v>632</v>
      </c>
      <c r="C188" t="s">
        <v>41</v>
      </c>
      <c r="D188" t="s">
        <v>516</v>
      </c>
      <c r="E188" t="s">
        <v>515</v>
      </c>
      <c r="F188" t="s">
        <v>515</v>
      </c>
      <c r="G188" t="s">
        <v>633</v>
      </c>
      <c r="H188" t="s">
        <v>634</v>
      </c>
      <c r="I188" t="s">
        <v>49</v>
      </c>
      <c r="J188">
        <v>6772.666666666667</v>
      </c>
      <c r="K188" s="3">
        <v>2</v>
      </c>
      <c r="L188" s="3">
        <v>2</v>
      </c>
      <c r="M188" s="3">
        <f>IFERROR(VLOOKUP(A188,Hoja2!$A$2:$C$264,2,FALSE),0)</f>
        <v>1324.8181818181818</v>
      </c>
      <c r="N188" s="3">
        <f>IFERROR(VLOOKUP(A188,Hoja2!$A$2:$C$264,3,FALSE),0)</f>
        <v>7748.75</v>
      </c>
      <c r="O188" s="4">
        <v>0.46706666666666669</v>
      </c>
    </row>
    <row r="189" spans="1:15" x14ac:dyDescent="0.25">
      <c r="A189">
        <v>123</v>
      </c>
      <c r="B189" t="s">
        <v>635</v>
      </c>
      <c r="C189" t="s">
        <v>101</v>
      </c>
      <c r="D189" t="s">
        <v>18</v>
      </c>
      <c r="E189" t="s">
        <v>18</v>
      </c>
      <c r="F189" t="s">
        <v>123</v>
      </c>
      <c r="G189" t="s">
        <v>606</v>
      </c>
      <c r="H189" t="s">
        <v>607</v>
      </c>
      <c r="I189" t="s">
        <v>15</v>
      </c>
      <c r="J189">
        <v>4481.666666666667</v>
      </c>
      <c r="K189" s="3">
        <v>2</v>
      </c>
      <c r="L189" s="3">
        <v>1</v>
      </c>
      <c r="M189" s="3">
        <f>IFERROR(VLOOKUP(A189,Hoja2!$A$2:$C$264,2,FALSE),0)</f>
        <v>672.81818181818187</v>
      </c>
      <c r="N189" s="3">
        <f>IFERROR(VLOOKUP(A189,Hoja2!$A$2:$C$264,3,FALSE),0)</f>
        <v>4528.75</v>
      </c>
      <c r="O189" s="4">
        <v>0.87246666666666661</v>
      </c>
    </row>
    <row r="190" spans="1:15" x14ac:dyDescent="0.25">
      <c r="A190">
        <v>353</v>
      </c>
      <c r="B190" t="s">
        <v>636</v>
      </c>
      <c r="C190" t="s">
        <v>51</v>
      </c>
      <c r="D190" t="s">
        <v>18</v>
      </c>
      <c r="E190" t="s">
        <v>18</v>
      </c>
      <c r="F190" t="s">
        <v>205</v>
      </c>
      <c r="G190" t="s">
        <v>637</v>
      </c>
      <c r="H190" t="s">
        <v>638</v>
      </c>
      <c r="I190" t="s">
        <v>15</v>
      </c>
      <c r="J190">
        <v>2984</v>
      </c>
      <c r="K190" s="3">
        <v>1</v>
      </c>
      <c r="L190" s="3">
        <v>1</v>
      </c>
      <c r="M190" s="3">
        <f>IFERROR(VLOOKUP(A190,Hoja2!$A$2:$C$264,2,FALSE),0)</f>
        <v>847.25</v>
      </c>
      <c r="N190" s="3">
        <f>IFERROR(VLOOKUP(A190,Hoja2!$A$2:$C$264,3,FALSE),0)</f>
        <v>5193</v>
      </c>
      <c r="O190" s="4">
        <v>0.74896666666666667</v>
      </c>
    </row>
    <row r="191" spans="1:15" x14ac:dyDescent="0.25">
      <c r="A191">
        <v>156</v>
      </c>
      <c r="B191" t="s">
        <v>639</v>
      </c>
      <c r="C191" t="s">
        <v>101</v>
      </c>
      <c r="D191" t="s">
        <v>18</v>
      </c>
      <c r="E191" t="s">
        <v>18</v>
      </c>
      <c r="F191" t="s">
        <v>101</v>
      </c>
      <c r="G191" t="s">
        <v>640</v>
      </c>
      <c r="H191" t="s">
        <v>641</v>
      </c>
      <c r="I191" t="s">
        <v>15</v>
      </c>
      <c r="J191">
        <v>3677.3333333333335</v>
      </c>
      <c r="K191" s="3">
        <v>1</v>
      </c>
      <c r="L191" s="3">
        <v>1</v>
      </c>
      <c r="M191" s="3">
        <f>IFERROR(VLOOKUP(A191,Hoja2!$A$2:$C$264,2,FALSE),0)</f>
        <v>718.8</v>
      </c>
      <c r="N191" s="3">
        <f>IFERROR(VLOOKUP(A191,Hoja2!$A$2:$C$264,3,FALSE),0)</f>
        <v>4471.75</v>
      </c>
      <c r="O191" s="4">
        <v>0.90866666666666662</v>
      </c>
    </row>
    <row r="192" spans="1:15" x14ac:dyDescent="0.25">
      <c r="A192">
        <v>355</v>
      </c>
      <c r="B192" t="s">
        <v>642</v>
      </c>
      <c r="C192" t="s">
        <v>17</v>
      </c>
      <c r="D192" t="s">
        <v>18</v>
      </c>
      <c r="E192" t="s">
        <v>18</v>
      </c>
      <c r="F192" t="s">
        <v>23</v>
      </c>
      <c r="G192" t="s">
        <v>643</v>
      </c>
      <c r="H192" t="s">
        <v>644</v>
      </c>
      <c r="I192" t="s">
        <v>15</v>
      </c>
      <c r="J192">
        <v>4288</v>
      </c>
      <c r="K192" s="3">
        <v>1</v>
      </c>
      <c r="L192" s="3">
        <v>1</v>
      </c>
      <c r="M192" s="3">
        <f>IFERROR(VLOOKUP(A192,Hoja2!$A$2:$C$264,2,FALSE),0)</f>
        <v>569.1</v>
      </c>
      <c r="N192" s="3">
        <f>IFERROR(VLOOKUP(A192,Hoja2!$A$2:$C$264,3,FALSE),0)</f>
        <v>4065.25</v>
      </c>
      <c r="O192" s="4">
        <v>0.86666666666666659</v>
      </c>
    </row>
    <row r="193" spans="1:15" x14ac:dyDescent="0.25">
      <c r="A193">
        <v>358</v>
      </c>
      <c r="B193" t="s">
        <v>609</v>
      </c>
      <c r="C193" t="s">
        <v>17</v>
      </c>
      <c r="D193" t="s">
        <v>18</v>
      </c>
      <c r="E193" t="s">
        <v>18</v>
      </c>
      <c r="F193" t="s">
        <v>23</v>
      </c>
      <c r="G193" t="s">
        <v>645</v>
      </c>
      <c r="H193" t="s">
        <v>646</v>
      </c>
      <c r="I193" t="s">
        <v>15</v>
      </c>
      <c r="J193">
        <v>3434.3333333333335</v>
      </c>
      <c r="K193" s="3">
        <v>2</v>
      </c>
      <c r="L193" s="3">
        <v>1</v>
      </c>
      <c r="M193" s="3">
        <f>IFERROR(VLOOKUP(A193,Hoja2!$A$2:$C$264,2,FALSE),0)</f>
        <v>689.63636363636363</v>
      </c>
      <c r="N193" s="3">
        <f>IFERROR(VLOOKUP(A193,Hoja2!$A$2:$C$264,3,FALSE),0)</f>
        <v>4918.5</v>
      </c>
      <c r="O193" s="4">
        <v>0.80853333333333344</v>
      </c>
    </row>
    <row r="194" spans="1:15" x14ac:dyDescent="0.25">
      <c r="A194">
        <v>359</v>
      </c>
      <c r="B194" t="s">
        <v>647</v>
      </c>
      <c r="C194" t="s">
        <v>51</v>
      </c>
      <c r="D194" t="s">
        <v>18</v>
      </c>
      <c r="E194" t="s">
        <v>18</v>
      </c>
      <c r="F194" t="s">
        <v>123</v>
      </c>
      <c r="G194" t="s">
        <v>648</v>
      </c>
      <c r="H194" t="s">
        <v>649</v>
      </c>
      <c r="I194" t="s">
        <v>15</v>
      </c>
      <c r="J194">
        <v>1909</v>
      </c>
      <c r="K194" s="3">
        <v>1</v>
      </c>
      <c r="L194" s="3">
        <v>0</v>
      </c>
      <c r="M194" s="3">
        <f>IFERROR(VLOOKUP(A194,Hoja2!$A$2:$C$264,2,FALSE),0)</f>
        <v>428.5</v>
      </c>
      <c r="N194" s="3">
        <f>IFERROR(VLOOKUP(A194,Hoja2!$A$2:$C$264,3,FALSE),0)</f>
        <v>2481.75</v>
      </c>
      <c r="O194" s="4">
        <v>0.87236666666666662</v>
      </c>
    </row>
    <row r="195" spans="1:15" x14ac:dyDescent="0.25">
      <c r="A195">
        <v>360</v>
      </c>
      <c r="B195" t="s">
        <v>650</v>
      </c>
      <c r="C195" t="s">
        <v>68</v>
      </c>
      <c r="D195" t="s">
        <v>18</v>
      </c>
      <c r="E195" t="s">
        <v>18</v>
      </c>
      <c r="F195" t="s">
        <v>19</v>
      </c>
      <c r="G195" t="s">
        <v>651</v>
      </c>
      <c r="H195" t="s">
        <v>652</v>
      </c>
      <c r="I195" t="s">
        <v>183</v>
      </c>
      <c r="J195">
        <v>8401</v>
      </c>
      <c r="K195" s="3">
        <v>2</v>
      </c>
      <c r="L195" s="3">
        <v>2</v>
      </c>
      <c r="M195" s="3">
        <f>IFERROR(VLOOKUP(A195,Hoja2!$A$2:$C$264,2,FALSE),0)</f>
        <v>1428.4</v>
      </c>
      <c r="N195" s="3">
        <f>IFERROR(VLOOKUP(A195,Hoja2!$A$2:$C$264,3,FALSE),0)</f>
        <v>7309.25</v>
      </c>
      <c r="O195" s="4">
        <v>0.77723333333333333</v>
      </c>
    </row>
    <row r="196" spans="1:15" x14ac:dyDescent="0.25">
      <c r="A196">
        <v>361</v>
      </c>
      <c r="B196" t="s">
        <v>653</v>
      </c>
      <c r="C196" t="s">
        <v>56</v>
      </c>
      <c r="D196" t="s">
        <v>18</v>
      </c>
      <c r="E196" t="s">
        <v>18</v>
      </c>
      <c r="F196" t="s">
        <v>18</v>
      </c>
      <c r="G196" t="s">
        <v>654</v>
      </c>
      <c r="H196" t="s">
        <v>655</v>
      </c>
      <c r="I196" t="s">
        <v>15</v>
      </c>
      <c r="J196">
        <v>3518</v>
      </c>
      <c r="K196" s="3">
        <v>1</v>
      </c>
      <c r="L196" s="3">
        <v>1</v>
      </c>
      <c r="M196" s="3">
        <f>IFERROR(VLOOKUP(A196,Hoja2!$A$2:$C$264,2,FALSE),0)</f>
        <v>728.33333333333337</v>
      </c>
      <c r="N196" s="3">
        <f>IFERROR(VLOOKUP(A196,Hoja2!$A$2:$C$264,3,FALSE),0)</f>
        <v>3970</v>
      </c>
      <c r="O196" s="4">
        <v>0.79956666666666665</v>
      </c>
    </row>
    <row r="197" spans="1:15" x14ac:dyDescent="0.25">
      <c r="A197">
        <v>365</v>
      </c>
      <c r="B197" t="s">
        <v>656</v>
      </c>
      <c r="C197" t="s">
        <v>11</v>
      </c>
      <c r="D197" t="s">
        <v>12</v>
      </c>
      <c r="E197" t="s">
        <v>656</v>
      </c>
      <c r="F197" t="s">
        <v>656</v>
      </c>
      <c r="G197" t="s">
        <v>657</v>
      </c>
      <c r="H197" t="s">
        <v>658</v>
      </c>
      <c r="I197" t="s">
        <v>15</v>
      </c>
      <c r="J197">
        <v>3220.3333333333335</v>
      </c>
      <c r="K197" s="3">
        <v>2</v>
      </c>
      <c r="L197" s="3">
        <v>1</v>
      </c>
      <c r="M197" s="3">
        <f>IFERROR(VLOOKUP(A197,Hoja2!$A$2:$C$264,2,FALSE),0)</f>
        <v>677</v>
      </c>
      <c r="N197" s="3">
        <f>IFERROR(VLOOKUP(A197,Hoja2!$A$2:$C$264,3,FALSE),0)</f>
        <v>4086.5</v>
      </c>
      <c r="O197" s="4">
        <v>0.93429999999999991</v>
      </c>
    </row>
    <row r="198" spans="1:15" x14ac:dyDescent="0.25">
      <c r="A198">
        <v>367</v>
      </c>
      <c r="B198" t="s">
        <v>659</v>
      </c>
      <c r="C198" t="s">
        <v>17</v>
      </c>
      <c r="D198" t="s">
        <v>18</v>
      </c>
      <c r="E198" t="s">
        <v>18</v>
      </c>
      <c r="F198" t="s">
        <v>101</v>
      </c>
      <c r="G198" t="s">
        <v>660</v>
      </c>
      <c r="H198" t="s">
        <v>661</v>
      </c>
      <c r="I198" t="s">
        <v>15</v>
      </c>
      <c r="J198">
        <v>2117</v>
      </c>
      <c r="K198" s="3">
        <v>1</v>
      </c>
      <c r="L198" s="3">
        <v>0</v>
      </c>
      <c r="M198" s="3">
        <f>IFERROR(VLOOKUP(A198,Hoja2!$A$2:$C$264,2,FALSE),0)</f>
        <v>410.8</v>
      </c>
      <c r="N198" s="3">
        <f>IFERROR(VLOOKUP(A198,Hoja2!$A$2:$C$264,3,FALSE),0)</f>
        <v>2410.25</v>
      </c>
      <c r="O198" s="4">
        <v>0.90083333333333326</v>
      </c>
    </row>
    <row r="199" spans="1:15" x14ac:dyDescent="0.25">
      <c r="A199">
        <v>169</v>
      </c>
      <c r="B199" t="s">
        <v>662</v>
      </c>
      <c r="C199" t="s">
        <v>101</v>
      </c>
      <c r="D199" t="s">
        <v>18</v>
      </c>
      <c r="E199" t="s">
        <v>18</v>
      </c>
      <c r="F199" t="s">
        <v>101</v>
      </c>
      <c r="G199" t="s">
        <v>663</v>
      </c>
      <c r="H199" t="s">
        <v>664</v>
      </c>
      <c r="I199" t="s">
        <v>114</v>
      </c>
      <c r="J199">
        <v>2211.6666666666665</v>
      </c>
      <c r="K199" s="3">
        <v>1</v>
      </c>
      <c r="L199" s="3">
        <v>1</v>
      </c>
      <c r="M199" s="3">
        <f>IFERROR(VLOOKUP(A199,Hoja2!$A$2:$C$264,2,FALSE),0)</f>
        <v>390.63636363636363</v>
      </c>
      <c r="N199" s="3">
        <f>IFERROR(VLOOKUP(A199,Hoja2!$A$2:$C$264,3,FALSE),0)</f>
        <v>2697.5</v>
      </c>
      <c r="O199" s="4">
        <v>0.82633333333333336</v>
      </c>
    </row>
    <row r="200" spans="1:15" x14ac:dyDescent="0.25">
      <c r="A200">
        <v>370</v>
      </c>
      <c r="B200" t="s">
        <v>665</v>
      </c>
      <c r="C200" t="s">
        <v>17</v>
      </c>
      <c r="D200" t="s">
        <v>18</v>
      </c>
      <c r="E200" t="s">
        <v>18</v>
      </c>
      <c r="F200" t="s">
        <v>23</v>
      </c>
      <c r="G200" t="s">
        <v>666</v>
      </c>
      <c r="H200" t="s">
        <v>667</v>
      </c>
      <c r="I200" t="s">
        <v>15</v>
      </c>
      <c r="J200">
        <v>3942.6666666666665</v>
      </c>
      <c r="K200" s="3">
        <v>2</v>
      </c>
      <c r="L200" s="3">
        <v>1</v>
      </c>
      <c r="M200" s="3">
        <f>IFERROR(VLOOKUP(A200,Hoja2!$A$2:$C$264,2,FALSE),0)</f>
        <v>687.90909090909088</v>
      </c>
      <c r="N200" s="3">
        <f>IFERROR(VLOOKUP(A200,Hoja2!$A$2:$C$264,3,FALSE),0)</f>
        <v>4463</v>
      </c>
      <c r="O200" s="4">
        <v>0.82363333333333333</v>
      </c>
    </row>
    <row r="201" spans="1:15" x14ac:dyDescent="0.25">
      <c r="A201">
        <v>372</v>
      </c>
      <c r="B201" t="s">
        <v>668</v>
      </c>
      <c r="C201" t="s">
        <v>51</v>
      </c>
      <c r="D201" t="s">
        <v>18</v>
      </c>
      <c r="E201" t="s">
        <v>18</v>
      </c>
      <c r="F201" t="s">
        <v>123</v>
      </c>
      <c r="G201" t="s">
        <v>669</v>
      </c>
      <c r="H201" t="s">
        <v>670</v>
      </c>
      <c r="I201" t="s">
        <v>15</v>
      </c>
      <c r="J201">
        <v>3536</v>
      </c>
      <c r="K201" s="3">
        <v>1</v>
      </c>
      <c r="L201" s="3">
        <v>1</v>
      </c>
      <c r="M201" s="3">
        <f>IFERROR(VLOOKUP(A201,Hoja2!$A$2:$C$264,2,FALSE),0)</f>
        <v>586.70000000000005</v>
      </c>
      <c r="N201" s="3">
        <f>IFERROR(VLOOKUP(A201,Hoja2!$A$2:$C$264,3,FALSE),0)</f>
        <v>3618</v>
      </c>
      <c r="O201" s="4">
        <v>0.75786666666666669</v>
      </c>
    </row>
    <row r="202" spans="1:15" x14ac:dyDescent="0.25">
      <c r="A202">
        <v>383</v>
      </c>
      <c r="B202" t="s">
        <v>671</v>
      </c>
      <c r="C202" t="s">
        <v>60</v>
      </c>
      <c r="D202" t="s">
        <v>18</v>
      </c>
      <c r="E202" t="s">
        <v>18</v>
      </c>
      <c r="F202" t="s">
        <v>72</v>
      </c>
      <c r="G202" t="s">
        <v>672</v>
      </c>
      <c r="H202" t="s">
        <v>673</v>
      </c>
      <c r="I202" t="s">
        <v>15</v>
      </c>
      <c r="J202">
        <v>3769</v>
      </c>
      <c r="K202" s="3">
        <v>1</v>
      </c>
      <c r="L202" s="3">
        <v>1</v>
      </c>
      <c r="M202" s="3">
        <f>IFERROR(VLOOKUP(A202,Hoja2!$A$2:$C$264,2,FALSE),0)</f>
        <v>1043</v>
      </c>
      <c r="N202" s="3">
        <f>IFERROR(VLOOKUP(A202,Hoja2!$A$2:$C$264,3,FALSE),0)</f>
        <v>5106.75</v>
      </c>
      <c r="O202" s="4">
        <v>0.79393333333333338</v>
      </c>
    </row>
    <row r="203" spans="1:15" x14ac:dyDescent="0.25">
      <c r="A203">
        <v>385</v>
      </c>
      <c r="B203" t="s">
        <v>674</v>
      </c>
      <c r="C203" t="s">
        <v>56</v>
      </c>
      <c r="D203" t="s">
        <v>18</v>
      </c>
      <c r="E203" t="s">
        <v>18</v>
      </c>
      <c r="F203" t="s">
        <v>18</v>
      </c>
      <c r="G203" t="s">
        <v>675</v>
      </c>
      <c r="H203" t="s">
        <v>676</v>
      </c>
      <c r="I203" t="s">
        <v>34</v>
      </c>
      <c r="J203">
        <v>3</v>
      </c>
      <c r="K203" s="3">
        <v>0</v>
      </c>
      <c r="L203" s="3">
        <v>0</v>
      </c>
      <c r="M203" s="3">
        <f>IFERROR(VLOOKUP(A203,Hoja2!$A$2:$C$264,2,FALSE),0)</f>
        <v>0</v>
      </c>
      <c r="N203" s="3">
        <f>IFERROR(VLOOKUP(A203,Hoja2!$A$2:$C$264,3,FALSE),0)</f>
        <v>0</v>
      </c>
      <c r="O203" s="4">
        <v>0</v>
      </c>
    </row>
    <row r="204" spans="1:15" x14ac:dyDescent="0.25">
      <c r="A204">
        <v>179</v>
      </c>
      <c r="B204" t="s">
        <v>677</v>
      </c>
      <c r="C204" t="s">
        <v>101</v>
      </c>
      <c r="D204" t="s">
        <v>18</v>
      </c>
      <c r="E204" t="s">
        <v>18</v>
      </c>
      <c r="F204" t="s">
        <v>123</v>
      </c>
      <c r="G204" t="s">
        <v>678</v>
      </c>
      <c r="H204" t="s">
        <v>679</v>
      </c>
      <c r="I204" t="s">
        <v>15</v>
      </c>
      <c r="J204">
        <v>4315.666666666667</v>
      </c>
      <c r="K204" s="3">
        <v>1</v>
      </c>
      <c r="L204" s="3">
        <v>2</v>
      </c>
      <c r="M204" s="3">
        <f>IFERROR(VLOOKUP(A204,Hoja2!$A$2:$C$264,2,FALSE),0)</f>
        <v>632.09090909090912</v>
      </c>
      <c r="N204" s="3">
        <f>IFERROR(VLOOKUP(A204,Hoja2!$A$2:$C$264,3,FALSE),0)</f>
        <v>4714.75</v>
      </c>
      <c r="O204" s="4">
        <v>0.82820000000000016</v>
      </c>
    </row>
    <row r="205" spans="1:15" x14ac:dyDescent="0.25">
      <c r="A205">
        <v>396</v>
      </c>
      <c r="B205" t="s">
        <v>680</v>
      </c>
      <c r="C205" t="s">
        <v>81</v>
      </c>
      <c r="D205" t="s">
        <v>18</v>
      </c>
      <c r="E205" t="s">
        <v>18</v>
      </c>
      <c r="F205" t="s">
        <v>80</v>
      </c>
      <c r="G205" t="s">
        <v>681</v>
      </c>
      <c r="H205" t="s">
        <v>682</v>
      </c>
      <c r="I205" t="s">
        <v>15</v>
      </c>
      <c r="J205">
        <v>3929.6666666666665</v>
      </c>
      <c r="K205" s="3">
        <v>1</v>
      </c>
      <c r="L205" s="3">
        <v>1</v>
      </c>
      <c r="M205" s="3">
        <f>IFERROR(VLOOKUP(A205,Hoja2!$A$2:$C$264,2,FALSE),0)</f>
        <v>1234.625</v>
      </c>
      <c r="N205" s="3">
        <f>IFERROR(VLOOKUP(A205,Hoja2!$A$2:$C$264,3,FALSE),0)</f>
        <v>5400.5</v>
      </c>
      <c r="O205" s="4">
        <v>0.71383333333333343</v>
      </c>
    </row>
    <row r="206" spans="1:15" x14ac:dyDescent="0.25">
      <c r="A206">
        <v>421</v>
      </c>
      <c r="B206" t="s">
        <v>683</v>
      </c>
      <c r="C206" t="s">
        <v>56</v>
      </c>
      <c r="D206" t="s">
        <v>18</v>
      </c>
      <c r="E206" t="s">
        <v>18</v>
      </c>
      <c r="F206" t="s">
        <v>136</v>
      </c>
      <c r="G206" t="s">
        <v>684</v>
      </c>
      <c r="H206" t="s">
        <v>685</v>
      </c>
      <c r="I206" t="s">
        <v>15</v>
      </c>
      <c r="J206">
        <v>4403.333333333333</v>
      </c>
      <c r="K206" s="3">
        <v>2</v>
      </c>
      <c r="L206" s="3">
        <v>1</v>
      </c>
      <c r="M206" s="3">
        <f>IFERROR(VLOOKUP(A206,Hoja2!$A$2:$C$264,2,FALSE),0)</f>
        <v>1135.7777777777778</v>
      </c>
      <c r="N206" s="3">
        <f>IFERROR(VLOOKUP(A206,Hoja2!$A$2:$C$264,3,FALSE),0)</f>
        <v>6042</v>
      </c>
      <c r="O206" s="4">
        <v>0.73896666666666666</v>
      </c>
    </row>
    <row r="207" spans="1:15" x14ac:dyDescent="0.25">
      <c r="A207">
        <v>182</v>
      </c>
      <c r="B207" t="s">
        <v>686</v>
      </c>
      <c r="C207" t="s">
        <v>101</v>
      </c>
      <c r="D207" t="s">
        <v>18</v>
      </c>
      <c r="E207" t="s">
        <v>18</v>
      </c>
      <c r="F207" t="s">
        <v>123</v>
      </c>
      <c r="G207" t="s">
        <v>687</v>
      </c>
      <c r="H207" t="s">
        <v>688</v>
      </c>
      <c r="I207" t="s">
        <v>15</v>
      </c>
      <c r="J207">
        <v>4240.333333333333</v>
      </c>
      <c r="K207" s="3">
        <v>1</v>
      </c>
      <c r="L207" s="3">
        <v>0</v>
      </c>
      <c r="M207" s="3">
        <f>IFERROR(VLOOKUP(A207,Hoja2!$A$2:$C$264,2,FALSE),0)</f>
        <v>348.54545454545456</v>
      </c>
      <c r="N207" s="3">
        <f>IFERROR(VLOOKUP(A207,Hoja2!$A$2:$C$264,3,FALSE),0)</f>
        <v>3133</v>
      </c>
      <c r="O207" s="4">
        <v>0.89659999999999995</v>
      </c>
    </row>
    <row r="208" spans="1:15" x14ac:dyDescent="0.25">
      <c r="A208">
        <v>427</v>
      </c>
      <c r="B208" t="s">
        <v>689</v>
      </c>
      <c r="C208" t="s">
        <v>215</v>
      </c>
      <c r="D208" t="s">
        <v>368</v>
      </c>
      <c r="E208" t="s">
        <v>368</v>
      </c>
      <c r="F208" t="s">
        <v>368</v>
      </c>
      <c r="G208" t="s">
        <v>690</v>
      </c>
      <c r="H208" t="s">
        <v>691</v>
      </c>
      <c r="I208" t="s">
        <v>49</v>
      </c>
      <c r="J208">
        <v>6028.666666666667</v>
      </c>
      <c r="K208" s="3">
        <v>1</v>
      </c>
      <c r="L208" s="3">
        <v>1</v>
      </c>
      <c r="M208" s="3">
        <f>IFERROR(VLOOKUP(A208,Hoja2!$A$2:$C$264,2,FALSE),0)</f>
        <v>856.1</v>
      </c>
      <c r="N208" s="3">
        <f>IFERROR(VLOOKUP(A208,Hoja2!$A$2:$C$264,3,FALSE),0)</f>
        <v>6662</v>
      </c>
      <c r="O208" s="4">
        <v>0.78103333333333336</v>
      </c>
    </row>
    <row r="209" spans="1:15" x14ac:dyDescent="0.25">
      <c r="A209">
        <v>442</v>
      </c>
      <c r="B209" t="s">
        <v>516</v>
      </c>
      <c r="C209" t="s">
        <v>41</v>
      </c>
      <c r="D209" t="s">
        <v>516</v>
      </c>
      <c r="E209" t="s">
        <v>516</v>
      </c>
      <c r="F209" t="s">
        <v>516</v>
      </c>
      <c r="G209" t="s">
        <v>692</v>
      </c>
      <c r="H209" t="s">
        <v>693</v>
      </c>
      <c r="I209" t="s">
        <v>49</v>
      </c>
      <c r="J209">
        <v>5339.333333333333</v>
      </c>
      <c r="K209" s="3">
        <v>1</v>
      </c>
      <c r="L209" s="3">
        <v>0</v>
      </c>
      <c r="M209" s="3">
        <f>IFERROR(VLOOKUP(A209,Hoja2!$A$2:$C$264,2,FALSE),0)</f>
        <v>1133.7777777777778</v>
      </c>
      <c r="N209" s="3">
        <f>IFERROR(VLOOKUP(A209,Hoja2!$A$2:$C$264,3,FALSE),0)</f>
        <v>6452</v>
      </c>
      <c r="O209" s="4">
        <v>0.56140000000000001</v>
      </c>
    </row>
    <row r="210" spans="1:15" x14ac:dyDescent="0.25">
      <c r="A210">
        <v>467</v>
      </c>
      <c r="B210" t="s">
        <v>694</v>
      </c>
      <c r="C210" t="s">
        <v>60</v>
      </c>
      <c r="D210" t="s">
        <v>18</v>
      </c>
      <c r="E210" t="s">
        <v>59</v>
      </c>
      <c r="F210" t="s">
        <v>695</v>
      </c>
      <c r="G210" t="s">
        <v>696</v>
      </c>
      <c r="H210" t="s">
        <v>697</v>
      </c>
      <c r="I210" t="s">
        <v>15</v>
      </c>
      <c r="J210">
        <v>3017.3333333333335</v>
      </c>
      <c r="K210" s="3">
        <v>2</v>
      </c>
      <c r="L210" s="3">
        <v>1</v>
      </c>
      <c r="M210" s="3">
        <f>IFERROR(VLOOKUP(A210,Hoja2!$A$2:$C$264,2,FALSE),0)</f>
        <v>940.88888888888891</v>
      </c>
      <c r="N210" s="3">
        <f>IFERROR(VLOOKUP(A210,Hoja2!$A$2:$C$264,3,FALSE),0)</f>
        <v>4531.5</v>
      </c>
      <c r="O210" s="4">
        <v>0.74583333333333324</v>
      </c>
    </row>
    <row r="211" spans="1:15" x14ac:dyDescent="0.25">
      <c r="A211">
        <v>480</v>
      </c>
      <c r="B211" t="s">
        <v>698</v>
      </c>
      <c r="C211" t="s">
        <v>60</v>
      </c>
      <c r="D211" t="s">
        <v>18</v>
      </c>
      <c r="E211" t="s">
        <v>18</v>
      </c>
      <c r="F211" t="s">
        <v>72</v>
      </c>
      <c r="G211" t="s">
        <v>699</v>
      </c>
      <c r="H211" t="s">
        <v>700</v>
      </c>
      <c r="I211" t="s">
        <v>15</v>
      </c>
      <c r="J211">
        <v>3920.3333333333335</v>
      </c>
      <c r="K211" s="3">
        <v>2</v>
      </c>
      <c r="L211" s="3">
        <v>1</v>
      </c>
      <c r="M211" s="3">
        <f>IFERROR(VLOOKUP(A211,Hoja2!$A$2:$C$264,2,FALSE),0)</f>
        <v>1092.5555555555557</v>
      </c>
      <c r="N211" s="3">
        <f>IFERROR(VLOOKUP(A211,Hoja2!$A$2:$C$264,3,FALSE),0)</f>
        <v>5228.75</v>
      </c>
      <c r="O211" s="4">
        <v>0.81213333333333326</v>
      </c>
    </row>
    <row r="212" spans="1:15" x14ac:dyDescent="0.25">
      <c r="A212">
        <v>484</v>
      </c>
      <c r="B212" t="s">
        <v>701</v>
      </c>
      <c r="C212" t="s">
        <v>68</v>
      </c>
      <c r="D212" t="s">
        <v>18</v>
      </c>
      <c r="E212" t="s">
        <v>18</v>
      </c>
      <c r="F212" t="s">
        <v>140</v>
      </c>
      <c r="G212" t="s">
        <v>702</v>
      </c>
      <c r="H212" t="s">
        <v>703</v>
      </c>
      <c r="I212" t="s">
        <v>15</v>
      </c>
      <c r="J212">
        <v>2182</v>
      </c>
      <c r="K212" s="3">
        <v>2</v>
      </c>
      <c r="L212" s="3">
        <v>1</v>
      </c>
      <c r="M212" s="3">
        <f>IFERROR(VLOOKUP(A212,Hoja2!$A$2:$C$264,2,FALSE),0)</f>
        <v>1012.1111111111111</v>
      </c>
      <c r="N212" s="3">
        <f>IFERROR(VLOOKUP(A212,Hoja2!$A$2:$C$264,3,FALSE),0)</f>
        <v>4686</v>
      </c>
      <c r="O212" s="4">
        <v>0.75769999999999993</v>
      </c>
    </row>
    <row r="213" spans="1:15" x14ac:dyDescent="0.25">
      <c r="A213">
        <v>187</v>
      </c>
      <c r="B213" t="s">
        <v>704</v>
      </c>
      <c r="C213" t="s">
        <v>101</v>
      </c>
      <c r="D213" t="s">
        <v>18</v>
      </c>
      <c r="E213" t="s">
        <v>18</v>
      </c>
      <c r="F213" t="s">
        <v>101</v>
      </c>
      <c r="G213" t="s">
        <v>705</v>
      </c>
      <c r="H213" t="s">
        <v>706</v>
      </c>
      <c r="I213" t="s">
        <v>15</v>
      </c>
      <c r="J213">
        <v>3648.6666666666665</v>
      </c>
      <c r="K213" s="3">
        <v>1</v>
      </c>
      <c r="L213" s="3">
        <v>1</v>
      </c>
      <c r="M213" s="3">
        <f>IFERROR(VLOOKUP(A213,Hoja2!$A$2:$C$264,2,FALSE),0)</f>
        <v>536.5454545454545</v>
      </c>
      <c r="N213" s="3">
        <f>IFERROR(VLOOKUP(A213,Hoja2!$A$2:$C$264,3,FALSE),0)</f>
        <v>3761.5</v>
      </c>
      <c r="O213" s="4">
        <v>0.90206666666666668</v>
      </c>
    </row>
    <row r="214" spans="1:15" x14ac:dyDescent="0.25">
      <c r="A214">
        <v>508</v>
      </c>
      <c r="B214" t="s">
        <v>707</v>
      </c>
      <c r="C214" t="s">
        <v>17</v>
      </c>
      <c r="D214" t="s">
        <v>18</v>
      </c>
      <c r="E214" t="s">
        <v>18</v>
      </c>
      <c r="F214" t="s">
        <v>708</v>
      </c>
      <c r="G214" t="s">
        <v>709</v>
      </c>
      <c r="H214" t="s">
        <v>710</v>
      </c>
      <c r="I214" t="s">
        <v>66</v>
      </c>
      <c r="J214">
        <v>5644.666666666667</v>
      </c>
      <c r="K214" s="3">
        <v>2</v>
      </c>
      <c r="L214" s="3">
        <v>1</v>
      </c>
      <c r="M214" s="3">
        <f>IFERROR(VLOOKUP(A214,Hoja2!$A$2:$C$264,2,FALSE),0)</f>
        <v>1297.3</v>
      </c>
      <c r="N214" s="3">
        <f>IFERROR(VLOOKUP(A214,Hoja2!$A$2:$C$264,3,FALSE),0)</f>
        <v>7408.25</v>
      </c>
      <c r="O214" s="4">
        <v>0.86796666666666666</v>
      </c>
    </row>
    <row r="215" spans="1:15" x14ac:dyDescent="0.25">
      <c r="A215">
        <v>521</v>
      </c>
      <c r="B215" t="s">
        <v>711</v>
      </c>
      <c r="C215" t="s">
        <v>36</v>
      </c>
      <c r="D215" t="s">
        <v>18</v>
      </c>
      <c r="E215" t="s">
        <v>18</v>
      </c>
      <c r="F215" t="s">
        <v>19</v>
      </c>
      <c r="G215" t="s">
        <v>712</v>
      </c>
      <c r="H215" t="s">
        <v>713</v>
      </c>
      <c r="I215" t="s">
        <v>15</v>
      </c>
      <c r="J215">
        <v>4070.6666666666665</v>
      </c>
      <c r="K215" s="3">
        <v>2</v>
      </c>
      <c r="L215" s="3">
        <v>1</v>
      </c>
      <c r="M215" s="3">
        <f>IFERROR(VLOOKUP(A215,Hoja2!$A$2:$C$264,2,FALSE),0)</f>
        <v>1046.5999999999999</v>
      </c>
      <c r="N215" s="3">
        <f>IFERROR(VLOOKUP(A215,Hoja2!$A$2:$C$264,3,FALSE),0)</f>
        <v>5870.5</v>
      </c>
      <c r="O215" s="4">
        <v>0.84439999999999993</v>
      </c>
    </row>
    <row r="216" spans="1:15" x14ac:dyDescent="0.25">
      <c r="A216">
        <v>554</v>
      </c>
      <c r="B216" t="s">
        <v>714</v>
      </c>
      <c r="C216" t="s">
        <v>41</v>
      </c>
      <c r="D216" t="s">
        <v>407</v>
      </c>
      <c r="E216" t="s">
        <v>407</v>
      </c>
      <c r="F216" t="s">
        <v>407</v>
      </c>
      <c r="G216" t="s">
        <v>715</v>
      </c>
      <c r="H216" t="s">
        <v>716</v>
      </c>
      <c r="I216" t="s">
        <v>15</v>
      </c>
      <c r="J216">
        <v>4363.333333333333</v>
      </c>
      <c r="K216" s="3">
        <v>1</v>
      </c>
      <c r="L216" s="3">
        <v>1</v>
      </c>
      <c r="M216" s="3">
        <f>IFERROR(VLOOKUP(A216,Hoja2!$A$2:$C$264,2,FALSE),0)</f>
        <v>936.5</v>
      </c>
      <c r="N216" s="3">
        <f>IFERROR(VLOOKUP(A216,Hoja2!$A$2:$C$264,3,FALSE),0)</f>
        <v>6124.25</v>
      </c>
      <c r="O216" s="4">
        <v>0.83726666666666671</v>
      </c>
    </row>
    <row r="217" spans="1:15" x14ac:dyDescent="0.25">
      <c r="A217">
        <v>564</v>
      </c>
      <c r="B217" t="s">
        <v>717</v>
      </c>
      <c r="C217" t="s">
        <v>36</v>
      </c>
      <c r="D217" t="s">
        <v>18</v>
      </c>
      <c r="E217" t="s">
        <v>18</v>
      </c>
      <c r="F217" t="s">
        <v>92</v>
      </c>
      <c r="G217" t="s">
        <v>718</v>
      </c>
      <c r="H217" t="s">
        <v>719</v>
      </c>
      <c r="I217" t="s">
        <v>15</v>
      </c>
      <c r="J217">
        <v>3005</v>
      </c>
      <c r="K217" s="3">
        <v>1</v>
      </c>
      <c r="L217" s="3">
        <v>0</v>
      </c>
      <c r="M217" s="3">
        <f>IFERROR(VLOOKUP(A217,Hoja2!$A$2:$C$264,2,FALSE),0)</f>
        <v>894.88888888888891</v>
      </c>
      <c r="N217" s="3">
        <f>IFERROR(VLOOKUP(A217,Hoja2!$A$2:$C$264,3,FALSE),0)</f>
        <v>4994.25</v>
      </c>
      <c r="O217" s="4">
        <v>0.83789999999999998</v>
      </c>
    </row>
    <row r="218" spans="1:15" x14ac:dyDescent="0.25">
      <c r="A218">
        <v>566</v>
      </c>
      <c r="B218" t="s">
        <v>720</v>
      </c>
      <c r="C218" t="s">
        <v>56</v>
      </c>
      <c r="D218" t="s">
        <v>18</v>
      </c>
      <c r="E218" t="s">
        <v>18</v>
      </c>
      <c r="F218" t="s">
        <v>18</v>
      </c>
      <c r="G218" t="s">
        <v>721</v>
      </c>
      <c r="H218" t="s">
        <v>722</v>
      </c>
      <c r="I218" t="s">
        <v>49</v>
      </c>
      <c r="J218">
        <v>4241</v>
      </c>
      <c r="K218" s="3">
        <v>1</v>
      </c>
      <c r="L218" s="3">
        <v>1</v>
      </c>
      <c r="M218" s="3">
        <f>IFERROR(VLOOKUP(A218,Hoja2!$A$2:$C$264,2,FALSE),0)</f>
        <v>962.88888888888891</v>
      </c>
      <c r="N218" s="3">
        <f>IFERROR(VLOOKUP(A218,Hoja2!$A$2:$C$264,3,FALSE),0)</f>
        <v>5441.5</v>
      </c>
      <c r="O218" s="4">
        <v>0.81846666666666668</v>
      </c>
    </row>
    <row r="219" spans="1:15" x14ac:dyDescent="0.25">
      <c r="A219">
        <v>584</v>
      </c>
      <c r="B219" t="s">
        <v>723</v>
      </c>
      <c r="C219" t="s">
        <v>215</v>
      </c>
      <c r="D219" t="s">
        <v>358</v>
      </c>
      <c r="E219" t="s">
        <v>359</v>
      </c>
      <c r="F219" t="s">
        <v>357</v>
      </c>
      <c r="G219" t="s">
        <v>724</v>
      </c>
      <c r="H219" t="s">
        <v>725</v>
      </c>
      <c r="I219" t="s">
        <v>49</v>
      </c>
      <c r="J219">
        <v>8487</v>
      </c>
      <c r="K219" s="3">
        <v>2</v>
      </c>
      <c r="L219" s="3">
        <v>1</v>
      </c>
      <c r="M219" s="3">
        <f>IFERROR(VLOOKUP(A219,Hoja2!$A$2:$C$264,2,FALSE),0)</f>
        <v>798.7</v>
      </c>
      <c r="N219" s="3">
        <f>IFERROR(VLOOKUP(A219,Hoja2!$A$2:$C$264,3,FALSE),0)</f>
        <v>7048.25</v>
      </c>
      <c r="O219" s="4">
        <v>0.5323</v>
      </c>
    </row>
    <row r="220" spans="1:15" x14ac:dyDescent="0.25">
      <c r="A220">
        <v>597</v>
      </c>
      <c r="B220" t="s">
        <v>726</v>
      </c>
      <c r="C220" t="s">
        <v>320</v>
      </c>
      <c r="D220" t="s">
        <v>381</v>
      </c>
      <c r="E220" t="s">
        <v>392</v>
      </c>
      <c r="F220" t="s">
        <v>726</v>
      </c>
      <c r="G220" t="s">
        <v>727</v>
      </c>
      <c r="H220" t="s">
        <v>728</v>
      </c>
      <c r="I220" t="s">
        <v>15</v>
      </c>
      <c r="J220">
        <v>4459.666666666667</v>
      </c>
      <c r="K220" s="3">
        <v>1</v>
      </c>
      <c r="L220" s="3">
        <v>0</v>
      </c>
      <c r="M220" s="3">
        <f>IFERROR(VLOOKUP(A220,Hoja2!$A$2:$C$264,2,FALSE),0)</f>
        <v>431.125</v>
      </c>
      <c r="N220" s="3">
        <f>IFERROR(VLOOKUP(A220,Hoja2!$A$2:$C$264,3,FALSE),0)</f>
        <v>2268</v>
      </c>
      <c r="O220" s="4">
        <v>0.91503333333333325</v>
      </c>
    </row>
    <row r="221" spans="1:15" x14ac:dyDescent="0.25">
      <c r="A221">
        <v>609</v>
      </c>
      <c r="B221" t="s">
        <v>729</v>
      </c>
      <c r="C221" t="s">
        <v>56</v>
      </c>
      <c r="D221" t="s">
        <v>18</v>
      </c>
      <c r="E221" t="s">
        <v>18</v>
      </c>
      <c r="F221" t="s">
        <v>18</v>
      </c>
      <c r="G221" t="s">
        <v>730</v>
      </c>
      <c r="H221" t="s">
        <v>731</v>
      </c>
      <c r="I221" t="s">
        <v>15</v>
      </c>
      <c r="J221">
        <v>3010.6666666666665</v>
      </c>
      <c r="K221" s="3">
        <v>1</v>
      </c>
      <c r="L221" s="3">
        <v>1</v>
      </c>
      <c r="M221" s="3">
        <f>IFERROR(VLOOKUP(A221,Hoja2!$A$2:$C$264,2,FALSE),0)</f>
        <v>747.4545454545455</v>
      </c>
      <c r="N221" s="3">
        <f>IFERROR(VLOOKUP(A221,Hoja2!$A$2:$C$264,3,FALSE),0)</f>
        <v>4509</v>
      </c>
      <c r="O221" s="4">
        <v>0.70393333333333341</v>
      </c>
    </row>
    <row r="222" spans="1:15" x14ac:dyDescent="0.25">
      <c r="A222">
        <v>614</v>
      </c>
      <c r="B222" t="s">
        <v>732</v>
      </c>
      <c r="C222" t="s">
        <v>68</v>
      </c>
      <c r="D222" t="s">
        <v>18</v>
      </c>
      <c r="E222" t="s">
        <v>18</v>
      </c>
      <c r="F222" t="s">
        <v>68</v>
      </c>
      <c r="G222" t="s">
        <v>733</v>
      </c>
      <c r="H222" t="s">
        <v>734</v>
      </c>
      <c r="I222" t="s">
        <v>15</v>
      </c>
      <c r="J222">
        <v>4133.666666666667</v>
      </c>
      <c r="K222" s="3">
        <v>1</v>
      </c>
      <c r="L222" s="3">
        <v>1</v>
      </c>
      <c r="M222" s="3">
        <f>IFERROR(VLOOKUP(A222,Hoja2!$A$2:$C$264,2,FALSE),0)</f>
        <v>425.18181818181819</v>
      </c>
      <c r="N222" s="3">
        <f>IFERROR(VLOOKUP(A222,Hoja2!$A$2:$C$264,3,FALSE),0)</f>
        <v>3037.25</v>
      </c>
      <c r="O222" s="4">
        <v>0.94159999999999988</v>
      </c>
    </row>
    <row r="223" spans="1:15" x14ac:dyDescent="0.25">
      <c r="A223">
        <v>615</v>
      </c>
      <c r="B223" t="s">
        <v>735</v>
      </c>
      <c r="C223" t="s">
        <v>17</v>
      </c>
      <c r="D223" t="s">
        <v>18</v>
      </c>
      <c r="E223" t="s">
        <v>18</v>
      </c>
      <c r="F223" t="s">
        <v>23</v>
      </c>
      <c r="G223" t="s">
        <v>736</v>
      </c>
      <c r="H223" t="s">
        <v>737</v>
      </c>
      <c r="I223" t="s">
        <v>15</v>
      </c>
      <c r="J223">
        <v>3850.6666666666665</v>
      </c>
      <c r="K223" s="3">
        <v>2</v>
      </c>
      <c r="L223" s="3">
        <v>0</v>
      </c>
      <c r="M223" s="3">
        <f>IFERROR(VLOOKUP(A223,Hoja2!$A$2:$C$264,2,FALSE),0)</f>
        <v>760.11111111111109</v>
      </c>
      <c r="N223" s="3">
        <f>IFERROR(VLOOKUP(A223,Hoja2!$A$2:$C$264,3,FALSE),0)</f>
        <v>4201.25</v>
      </c>
      <c r="O223" s="4">
        <v>0.90613333333333335</v>
      </c>
    </row>
    <row r="224" spans="1:15" x14ac:dyDescent="0.25">
      <c r="A224">
        <v>352</v>
      </c>
      <c r="B224" t="s">
        <v>738</v>
      </c>
      <c r="C224" t="s">
        <v>101</v>
      </c>
      <c r="D224" t="s">
        <v>18</v>
      </c>
      <c r="E224" t="s">
        <v>18</v>
      </c>
      <c r="F224" t="s">
        <v>708</v>
      </c>
      <c r="G224" t="s">
        <v>739</v>
      </c>
      <c r="H224" t="s">
        <v>740</v>
      </c>
      <c r="I224" t="s">
        <v>15</v>
      </c>
      <c r="J224">
        <v>2552.3333333333335</v>
      </c>
      <c r="K224" s="3">
        <v>1</v>
      </c>
      <c r="L224" s="3">
        <v>0</v>
      </c>
      <c r="M224" s="3">
        <f>IFERROR(VLOOKUP(A224,Hoja2!$A$2:$C$264,2,FALSE),0)</f>
        <v>543.63636363636363</v>
      </c>
      <c r="N224" s="3">
        <f>IFERROR(VLOOKUP(A224,Hoja2!$A$2:$C$264,3,FALSE),0)</f>
        <v>3530.75</v>
      </c>
      <c r="O224" s="4">
        <v>0.75463333333333338</v>
      </c>
    </row>
    <row r="225" spans="1:15" x14ac:dyDescent="0.25">
      <c r="A225">
        <v>621</v>
      </c>
      <c r="B225" t="s">
        <v>365</v>
      </c>
      <c r="C225" t="s">
        <v>215</v>
      </c>
      <c r="D225" t="s">
        <v>365</v>
      </c>
      <c r="E225" t="s">
        <v>741</v>
      </c>
      <c r="F225" t="s">
        <v>365</v>
      </c>
      <c r="G225" t="s">
        <v>742</v>
      </c>
      <c r="H225" t="s">
        <v>743</v>
      </c>
      <c r="I225" t="s">
        <v>15</v>
      </c>
      <c r="J225">
        <v>2496.3333333333335</v>
      </c>
      <c r="K225" s="3">
        <v>1</v>
      </c>
      <c r="L225" s="3">
        <v>2</v>
      </c>
      <c r="M225" s="3">
        <f>IFERROR(VLOOKUP(A225,Hoja2!$A$2:$C$264,2,FALSE),0)</f>
        <v>513.375</v>
      </c>
      <c r="N225" s="3">
        <f>IFERROR(VLOOKUP(A225,Hoja2!$A$2:$C$264,3,FALSE),0)</f>
        <v>2856</v>
      </c>
      <c r="O225" s="4">
        <v>0.88519999999999988</v>
      </c>
    </row>
    <row r="226" spans="1:15" x14ac:dyDescent="0.25">
      <c r="A226">
        <v>627</v>
      </c>
      <c r="B226" t="s">
        <v>744</v>
      </c>
      <c r="C226" t="s">
        <v>68</v>
      </c>
      <c r="D226" t="s">
        <v>18</v>
      </c>
      <c r="E226" t="s">
        <v>18</v>
      </c>
      <c r="F226" t="s">
        <v>481</v>
      </c>
      <c r="G226" t="s">
        <v>745</v>
      </c>
      <c r="H226" t="s">
        <v>746</v>
      </c>
      <c r="I226" t="s">
        <v>34</v>
      </c>
      <c r="J226">
        <v>428.66666666666669</v>
      </c>
      <c r="K226" s="3">
        <v>0</v>
      </c>
      <c r="L226" s="3">
        <v>0</v>
      </c>
      <c r="M226" s="3">
        <f>IFERROR(VLOOKUP(A226,Hoja2!$A$2:$C$264,2,FALSE),0)</f>
        <v>0</v>
      </c>
      <c r="N226" s="3">
        <f>IFERROR(VLOOKUP(A226,Hoja2!$A$2:$C$264,3,FALSE),0)</f>
        <v>0</v>
      </c>
      <c r="O226" s="4">
        <v>0</v>
      </c>
    </row>
    <row r="227" spans="1:15" x14ac:dyDescent="0.25">
      <c r="A227">
        <v>628</v>
      </c>
      <c r="B227" t="s">
        <v>747</v>
      </c>
      <c r="C227" t="s">
        <v>320</v>
      </c>
      <c r="D227" t="s">
        <v>381</v>
      </c>
      <c r="E227" t="s">
        <v>747</v>
      </c>
      <c r="F227" t="s">
        <v>747</v>
      </c>
      <c r="G227" t="s">
        <v>748</v>
      </c>
      <c r="H227" t="s">
        <v>749</v>
      </c>
      <c r="I227" t="s">
        <v>15</v>
      </c>
      <c r="J227">
        <v>3382</v>
      </c>
      <c r="K227" s="3">
        <v>1</v>
      </c>
      <c r="L227" s="3">
        <v>0</v>
      </c>
      <c r="M227" s="3">
        <f>IFERROR(VLOOKUP(A227,Hoja2!$A$2:$C$264,2,FALSE),0)</f>
        <v>510.88888888888891</v>
      </c>
      <c r="N227" s="3">
        <f>IFERROR(VLOOKUP(A227,Hoja2!$A$2:$C$264,3,FALSE),0)</f>
        <v>3101.75</v>
      </c>
      <c r="O227" s="4">
        <v>0.95289999999999997</v>
      </c>
    </row>
    <row r="228" spans="1:15" x14ac:dyDescent="0.25">
      <c r="A228">
        <v>643</v>
      </c>
      <c r="B228" t="s">
        <v>750</v>
      </c>
      <c r="C228" t="s">
        <v>320</v>
      </c>
      <c r="D228" t="s">
        <v>381</v>
      </c>
      <c r="E228" t="s">
        <v>750</v>
      </c>
      <c r="F228" t="s">
        <v>750</v>
      </c>
      <c r="G228" t="s">
        <v>751</v>
      </c>
      <c r="H228" t="s">
        <v>752</v>
      </c>
      <c r="I228" t="s">
        <v>15</v>
      </c>
      <c r="J228">
        <v>3762.6666666666665</v>
      </c>
      <c r="K228" s="3">
        <v>1</v>
      </c>
      <c r="L228" s="3">
        <v>0</v>
      </c>
      <c r="M228" s="3">
        <f>IFERROR(VLOOKUP(A228,Hoja2!$A$2:$C$264,2,FALSE),0)</f>
        <v>556.88888888888891</v>
      </c>
      <c r="N228" s="3">
        <f>IFERROR(VLOOKUP(A228,Hoja2!$A$2:$C$264,3,FALSE),0)</f>
        <v>3448.25</v>
      </c>
      <c r="O228" s="4">
        <v>0.82810000000000006</v>
      </c>
    </row>
    <row r="229" spans="1:15" x14ac:dyDescent="0.25">
      <c r="A229">
        <v>648</v>
      </c>
      <c r="B229" t="s">
        <v>753</v>
      </c>
      <c r="C229" t="s">
        <v>41</v>
      </c>
      <c r="D229" t="s">
        <v>418</v>
      </c>
      <c r="E229" t="s">
        <v>753</v>
      </c>
      <c r="F229" t="s">
        <v>753</v>
      </c>
      <c r="G229" t="s">
        <v>754</v>
      </c>
      <c r="H229" t="s">
        <v>755</v>
      </c>
      <c r="I229" t="s">
        <v>15</v>
      </c>
      <c r="J229">
        <v>4364.333333333333</v>
      </c>
      <c r="K229" s="3">
        <v>1</v>
      </c>
      <c r="L229" s="3">
        <v>0</v>
      </c>
      <c r="M229" s="3">
        <f>IFERROR(VLOOKUP(A229,Hoja2!$A$2:$C$264,2,FALSE),0)</f>
        <v>381.5</v>
      </c>
      <c r="N229" s="3">
        <f>IFERROR(VLOOKUP(A229,Hoja2!$A$2:$C$264,3,FALSE),0)</f>
        <v>1924.5</v>
      </c>
      <c r="O229" s="4">
        <v>0.874</v>
      </c>
    </row>
    <row r="230" spans="1:15" x14ac:dyDescent="0.25">
      <c r="A230">
        <v>659</v>
      </c>
      <c r="B230" t="s">
        <v>756</v>
      </c>
      <c r="C230" t="s">
        <v>51</v>
      </c>
      <c r="D230" t="s">
        <v>18</v>
      </c>
      <c r="E230" t="s">
        <v>18</v>
      </c>
      <c r="F230" t="s">
        <v>85</v>
      </c>
      <c r="G230" t="s">
        <v>757</v>
      </c>
      <c r="H230" t="s">
        <v>758</v>
      </c>
      <c r="I230" t="s">
        <v>15</v>
      </c>
      <c r="J230">
        <v>2680.6666666666665</v>
      </c>
      <c r="K230" s="3">
        <v>1</v>
      </c>
      <c r="L230" s="3">
        <v>0</v>
      </c>
      <c r="M230" s="3">
        <f>IFERROR(VLOOKUP(A230,Hoja2!$A$2:$C$264,2,FALSE),0)</f>
        <v>537.25</v>
      </c>
      <c r="N230" s="3">
        <f>IFERROR(VLOOKUP(A230,Hoja2!$A$2:$C$264,3,FALSE),0)</f>
        <v>2784.5</v>
      </c>
      <c r="O230" s="4">
        <v>0.93736666666666668</v>
      </c>
    </row>
    <row r="231" spans="1:15" x14ac:dyDescent="0.25">
      <c r="A231">
        <v>667</v>
      </c>
      <c r="B231" t="s">
        <v>759</v>
      </c>
      <c r="C231" t="s">
        <v>41</v>
      </c>
      <c r="D231" t="s">
        <v>407</v>
      </c>
      <c r="E231" t="s">
        <v>407</v>
      </c>
      <c r="F231" t="s">
        <v>407</v>
      </c>
      <c r="G231" t="s">
        <v>760</v>
      </c>
      <c r="H231" t="s">
        <v>761</v>
      </c>
      <c r="I231" t="s">
        <v>49</v>
      </c>
      <c r="J231">
        <v>5855.666666666667</v>
      </c>
      <c r="K231" s="3">
        <v>2</v>
      </c>
      <c r="L231" s="3">
        <v>1</v>
      </c>
      <c r="M231" s="3">
        <f>IFERROR(VLOOKUP(A231,Hoja2!$A$2:$C$264,2,FALSE),0)</f>
        <v>1180.5454545454545</v>
      </c>
      <c r="N231" s="3">
        <f>IFERROR(VLOOKUP(A231,Hoja2!$A$2:$C$264,3,FALSE),0)</f>
        <v>7383.5</v>
      </c>
      <c r="O231" s="4">
        <v>0.76293333333333335</v>
      </c>
    </row>
    <row r="232" spans="1:15" x14ac:dyDescent="0.25">
      <c r="A232">
        <v>712</v>
      </c>
      <c r="B232" t="s">
        <v>762</v>
      </c>
      <c r="C232" t="s">
        <v>68</v>
      </c>
      <c r="D232" t="s">
        <v>18</v>
      </c>
      <c r="E232" t="s">
        <v>18</v>
      </c>
      <c r="F232" t="s">
        <v>269</v>
      </c>
      <c r="G232" t="s">
        <v>763</v>
      </c>
      <c r="H232" t="s">
        <v>764</v>
      </c>
      <c r="I232" t="s">
        <v>66</v>
      </c>
      <c r="J232">
        <v>6437</v>
      </c>
      <c r="K232" s="3">
        <v>2</v>
      </c>
      <c r="L232" s="3">
        <v>2</v>
      </c>
      <c r="M232" s="3">
        <f>IFERROR(VLOOKUP(A232,Hoja2!$A$2:$C$264,2,FALSE),0)</f>
        <v>1574.7</v>
      </c>
      <c r="N232" s="3">
        <f>IFERROR(VLOOKUP(A232,Hoja2!$A$2:$C$264,3,FALSE),0)</f>
        <v>7994.25</v>
      </c>
      <c r="O232" s="4">
        <v>0.88893333333333324</v>
      </c>
    </row>
    <row r="233" spans="1:15" x14ac:dyDescent="0.25">
      <c r="A233">
        <v>713</v>
      </c>
      <c r="B233" t="s">
        <v>765</v>
      </c>
      <c r="C233" t="s">
        <v>17</v>
      </c>
      <c r="D233" t="s">
        <v>18</v>
      </c>
      <c r="E233" t="s">
        <v>18</v>
      </c>
      <c r="F233" t="s">
        <v>19</v>
      </c>
      <c r="G233" t="s">
        <v>766</v>
      </c>
      <c r="H233" t="s">
        <v>767</v>
      </c>
      <c r="I233" t="s">
        <v>15</v>
      </c>
      <c r="J233">
        <v>4694.666666666667</v>
      </c>
      <c r="K233" s="3">
        <v>1</v>
      </c>
      <c r="L233" s="3">
        <v>0</v>
      </c>
      <c r="M233" s="3">
        <f>IFERROR(VLOOKUP(A233,Hoja2!$A$2:$C$264,2,FALSE),0)</f>
        <v>645.09090909090912</v>
      </c>
      <c r="N233" s="3">
        <f>IFERROR(VLOOKUP(A233,Hoja2!$A$2:$C$264,3,FALSE),0)</f>
        <v>5689</v>
      </c>
      <c r="O233" s="4">
        <v>0.8978666666666667</v>
      </c>
    </row>
    <row r="234" spans="1:15" x14ac:dyDescent="0.25">
      <c r="A234">
        <v>368</v>
      </c>
      <c r="B234" t="s">
        <v>768</v>
      </c>
      <c r="C234" t="s">
        <v>101</v>
      </c>
      <c r="D234" t="s">
        <v>18</v>
      </c>
      <c r="E234" t="s">
        <v>18</v>
      </c>
      <c r="F234" t="s">
        <v>101</v>
      </c>
      <c r="G234" t="s">
        <v>769</v>
      </c>
      <c r="H234" t="s">
        <v>770</v>
      </c>
      <c r="I234" t="s">
        <v>15</v>
      </c>
      <c r="J234">
        <v>3265</v>
      </c>
      <c r="K234" s="3">
        <v>2</v>
      </c>
      <c r="L234" s="3">
        <v>1</v>
      </c>
      <c r="M234" s="3">
        <f>IFERROR(VLOOKUP(A234,Hoja2!$A$2:$C$264,2,FALSE),0)</f>
        <v>781.7</v>
      </c>
      <c r="N234" s="3">
        <f>IFERROR(VLOOKUP(A234,Hoja2!$A$2:$C$264,3,FALSE),0)</f>
        <v>4147.75</v>
      </c>
      <c r="O234" s="4">
        <v>0.79833333333333334</v>
      </c>
    </row>
    <row r="235" spans="1:15" x14ac:dyDescent="0.25">
      <c r="A235">
        <v>717</v>
      </c>
      <c r="B235" t="s">
        <v>771</v>
      </c>
      <c r="C235" t="s">
        <v>215</v>
      </c>
      <c r="D235" t="s">
        <v>215</v>
      </c>
      <c r="E235" t="s">
        <v>215</v>
      </c>
      <c r="F235" t="s">
        <v>771</v>
      </c>
      <c r="G235" t="s">
        <v>772</v>
      </c>
      <c r="H235" t="s">
        <v>773</v>
      </c>
      <c r="I235" t="s">
        <v>49</v>
      </c>
      <c r="J235">
        <v>7027.333333333333</v>
      </c>
      <c r="K235" s="3">
        <v>2</v>
      </c>
      <c r="L235" s="3">
        <v>1</v>
      </c>
      <c r="M235" s="3">
        <f>IFERROR(VLOOKUP(A235,Hoja2!$A$2:$C$264,2,FALSE),0)</f>
        <v>1438.8181818181818</v>
      </c>
      <c r="N235" s="3">
        <f>IFERROR(VLOOKUP(A235,Hoja2!$A$2:$C$264,3,FALSE),0)</f>
        <v>9074.5</v>
      </c>
      <c r="O235" s="4">
        <v>0.83453333333333335</v>
      </c>
    </row>
    <row r="236" spans="1:15" x14ac:dyDescent="0.25">
      <c r="A236">
        <v>426</v>
      </c>
      <c r="B236" t="s">
        <v>774</v>
      </c>
      <c r="C236" t="s">
        <v>101</v>
      </c>
      <c r="D236" t="s">
        <v>18</v>
      </c>
      <c r="E236" t="s">
        <v>18</v>
      </c>
      <c r="F236" t="s">
        <v>101</v>
      </c>
      <c r="G236" t="s">
        <v>775</v>
      </c>
      <c r="H236" t="s">
        <v>776</v>
      </c>
      <c r="I236" t="s">
        <v>15</v>
      </c>
      <c r="J236">
        <v>2279.6666666666665</v>
      </c>
      <c r="K236" s="3">
        <v>2</v>
      </c>
      <c r="L236" s="3">
        <v>0</v>
      </c>
      <c r="M236" s="3">
        <f>IFERROR(VLOOKUP(A236,Hoja2!$A$2:$C$264,2,FALSE),0)</f>
        <v>442.7</v>
      </c>
      <c r="N236" s="3">
        <f>IFERROR(VLOOKUP(A236,Hoja2!$A$2:$C$264,3,FALSE),0)</f>
        <v>2937</v>
      </c>
      <c r="O236" s="4">
        <v>0.93096666666666683</v>
      </c>
    </row>
    <row r="237" spans="1:15" x14ac:dyDescent="0.25">
      <c r="A237">
        <v>750</v>
      </c>
      <c r="B237" t="s">
        <v>777</v>
      </c>
      <c r="C237" t="s">
        <v>68</v>
      </c>
      <c r="D237" t="s">
        <v>18</v>
      </c>
      <c r="E237" t="s">
        <v>18</v>
      </c>
      <c r="F237" t="s">
        <v>140</v>
      </c>
      <c r="G237" t="s">
        <v>778</v>
      </c>
      <c r="H237" t="s">
        <v>779</v>
      </c>
      <c r="I237" t="s">
        <v>49</v>
      </c>
      <c r="J237">
        <v>5019.666666666667</v>
      </c>
      <c r="K237" s="3">
        <v>1</v>
      </c>
      <c r="L237" s="3">
        <v>2</v>
      </c>
      <c r="M237" s="3">
        <f>IFERROR(VLOOKUP(A237,Hoja2!$A$2:$C$264,2,FALSE),0)</f>
        <v>1409.375</v>
      </c>
      <c r="N237" s="3">
        <f>IFERROR(VLOOKUP(A237,Hoja2!$A$2:$C$264,3,FALSE),0)</f>
        <v>5935.75</v>
      </c>
      <c r="O237" s="4">
        <v>0.76463333333333328</v>
      </c>
    </row>
    <row r="238" spans="1:15" x14ac:dyDescent="0.25">
      <c r="A238">
        <v>751</v>
      </c>
      <c r="B238" t="s">
        <v>780</v>
      </c>
      <c r="C238" t="s">
        <v>17</v>
      </c>
      <c r="D238" t="s">
        <v>18</v>
      </c>
      <c r="E238" t="s">
        <v>18</v>
      </c>
      <c r="F238" t="s">
        <v>19</v>
      </c>
      <c r="G238" t="s">
        <v>781</v>
      </c>
      <c r="H238" t="s">
        <v>782</v>
      </c>
      <c r="I238" t="s">
        <v>15</v>
      </c>
      <c r="J238">
        <v>3483.3333333333335</v>
      </c>
      <c r="K238" s="3">
        <v>1</v>
      </c>
      <c r="L238" s="3">
        <v>0</v>
      </c>
      <c r="M238" s="3">
        <f>IFERROR(VLOOKUP(A238,Hoja2!$A$2:$C$264,2,FALSE),0)</f>
        <v>538.1</v>
      </c>
      <c r="N238" s="3">
        <f>IFERROR(VLOOKUP(A238,Hoja2!$A$2:$C$264,3,FALSE),0)</f>
        <v>3553.25</v>
      </c>
      <c r="O238" s="4">
        <v>0.81853333333333333</v>
      </c>
    </row>
    <row r="239" spans="1:15" x14ac:dyDescent="0.25">
      <c r="A239">
        <v>752</v>
      </c>
      <c r="B239" t="s">
        <v>783</v>
      </c>
      <c r="C239" t="s">
        <v>81</v>
      </c>
      <c r="D239" t="s">
        <v>18</v>
      </c>
      <c r="E239" t="s">
        <v>18</v>
      </c>
      <c r="F239" t="s">
        <v>97</v>
      </c>
      <c r="G239" t="s">
        <v>784</v>
      </c>
      <c r="H239" t="s">
        <v>785</v>
      </c>
      <c r="I239" t="s">
        <v>15</v>
      </c>
      <c r="J239">
        <v>3978.3333333333335</v>
      </c>
      <c r="K239" s="3">
        <v>2</v>
      </c>
      <c r="L239" s="3">
        <v>1</v>
      </c>
      <c r="M239" s="3">
        <f>IFERROR(VLOOKUP(A239,Hoja2!$A$2:$C$264,2,FALSE),0)</f>
        <v>1219.5</v>
      </c>
      <c r="N239" s="3">
        <f>IFERROR(VLOOKUP(A239,Hoja2!$A$2:$C$264,3,FALSE),0)</f>
        <v>5966</v>
      </c>
      <c r="O239" s="4">
        <v>0.77459999999999996</v>
      </c>
    </row>
    <row r="240" spans="1:15" x14ac:dyDescent="0.25">
      <c r="A240">
        <v>755</v>
      </c>
      <c r="B240" t="s">
        <v>786</v>
      </c>
      <c r="C240" t="s">
        <v>215</v>
      </c>
      <c r="D240" t="s">
        <v>215</v>
      </c>
      <c r="E240" t="s">
        <v>215</v>
      </c>
      <c r="F240" t="s">
        <v>215</v>
      </c>
      <c r="G240" t="s">
        <v>787</v>
      </c>
      <c r="H240" t="s">
        <v>788</v>
      </c>
      <c r="I240" t="s">
        <v>114</v>
      </c>
      <c r="J240">
        <v>0</v>
      </c>
      <c r="K240" s="3">
        <v>0</v>
      </c>
      <c r="L240" s="3">
        <v>0</v>
      </c>
      <c r="M240" s="3">
        <f>IFERROR(VLOOKUP(A240,Hoja2!$A$2:$C$264,2,FALSE),0)</f>
        <v>0</v>
      </c>
      <c r="N240" s="3">
        <f>IFERROR(VLOOKUP(A240,Hoja2!$A$2:$C$264,3,FALSE),0)</f>
        <v>0</v>
      </c>
      <c r="O240" s="4">
        <v>0</v>
      </c>
    </row>
    <row r="241" spans="1:15" x14ac:dyDescent="0.25">
      <c r="A241">
        <v>761</v>
      </c>
      <c r="B241" t="s">
        <v>789</v>
      </c>
      <c r="C241" t="s">
        <v>17</v>
      </c>
      <c r="D241" t="s">
        <v>18</v>
      </c>
      <c r="E241" t="s">
        <v>18</v>
      </c>
      <c r="F241" t="s">
        <v>19</v>
      </c>
      <c r="G241" t="s">
        <v>790</v>
      </c>
      <c r="H241" t="s">
        <v>791</v>
      </c>
      <c r="I241" t="s">
        <v>34</v>
      </c>
      <c r="J241">
        <v>945.66666666666663</v>
      </c>
      <c r="K241" s="3">
        <v>0</v>
      </c>
      <c r="L241" s="3">
        <v>0</v>
      </c>
      <c r="M241" s="3">
        <f>IFERROR(VLOOKUP(A241,Hoja2!$A$2:$C$264,2,FALSE),0)</f>
        <v>0</v>
      </c>
      <c r="N241" s="3">
        <f>IFERROR(VLOOKUP(A241,Hoja2!$A$2:$C$264,3,FALSE),0)</f>
        <v>0</v>
      </c>
      <c r="O241" s="4">
        <v>0</v>
      </c>
    </row>
    <row r="242" spans="1:15" x14ac:dyDescent="0.25">
      <c r="A242">
        <v>761</v>
      </c>
      <c r="B242" t="s">
        <v>792</v>
      </c>
      <c r="C242" t="s">
        <v>17</v>
      </c>
      <c r="D242" t="s">
        <v>18</v>
      </c>
      <c r="E242" t="s">
        <v>18</v>
      </c>
      <c r="F242" t="s">
        <v>19</v>
      </c>
      <c r="G242" t="s">
        <v>790</v>
      </c>
      <c r="H242" t="s">
        <v>791</v>
      </c>
      <c r="I242" t="s">
        <v>34</v>
      </c>
      <c r="J242">
        <v>945.66666666666663</v>
      </c>
      <c r="K242" s="3">
        <v>0</v>
      </c>
      <c r="L242" s="3">
        <v>0</v>
      </c>
      <c r="M242" s="3">
        <f>IFERROR(VLOOKUP(A242,Hoja2!$A$2:$C$264,2,FALSE),0)</f>
        <v>0</v>
      </c>
      <c r="N242" s="3">
        <f>IFERROR(VLOOKUP(A242,Hoja2!$A$2:$C$264,3,FALSE),0)</f>
        <v>0</v>
      </c>
      <c r="O242" s="4">
        <v>0</v>
      </c>
    </row>
    <row r="243" spans="1:15" x14ac:dyDescent="0.25">
      <c r="A243">
        <v>763</v>
      </c>
      <c r="B243" t="s">
        <v>793</v>
      </c>
      <c r="C243" t="s">
        <v>215</v>
      </c>
      <c r="D243" t="s">
        <v>215</v>
      </c>
      <c r="E243" t="s">
        <v>794</v>
      </c>
      <c r="F243" t="s">
        <v>795</v>
      </c>
      <c r="G243" t="s">
        <v>796</v>
      </c>
      <c r="H243" t="s">
        <v>797</v>
      </c>
      <c r="I243" t="s">
        <v>15</v>
      </c>
      <c r="J243">
        <v>4828.666666666667</v>
      </c>
      <c r="K243" s="3">
        <v>1</v>
      </c>
      <c r="L243" s="3">
        <v>1</v>
      </c>
      <c r="M243" s="3">
        <f>IFERROR(VLOOKUP(A243,Hoja2!$A$2:$C$264,2,FALSE),0)</f>
        <v>762.44444444444446</v>
      </c>
      <c r="N243" s="3">
        <f>IFERROR(VLOOKUP(A243,Hoja2!$A$2:$C$264,3,FALSE),0)</f>
        <v>5548.75</v>
      </c>
      <c r="O243" s="4">
        <v>0.70330000000000004</v>
      </c>
    </row>
    <row r="244" spans="1:15" x14ac:dyDescent="0.25">
      <c r="A244">
        <v>764</v>
      </c>
      <c r="B244" t="s">
        <v>798</v>
      </c>
      <c r="C244" t="s">
        <v>215</v>
      </c>
      <c r="D244" t="s">
        <v>215</v>
      </c>
      <c r="E244" t="s">
        <v>215</v>
      </c>
      <c r="F244" t="s">
        <v>799</v>
      </c>
      <c r="G244" t="s">
        <v>800</v>
      </c>
      <c r="H244" t="s">
        <v>801</v>
      </c>
      <c r="I244" t="s">
        <v>49</v>
      </c>
      <c r="J244">
        <v>6078.333333333333</v>
      </c>
      <c r="K244" s="3">
        <v>2</v>
      </c>
      <c r="L244" s="3">
        <v>2</v>
      </c>
      <c r="M244" s="3">
        <f>IFERROR(VLOOKUP(A244,Hoja2!$A$2:$C$264,2,FALSE),0)</f>
        <v>1281.5999999999999</v>
      </c>
      <c r="N244" s="3">
        <f>IFERROR(VLOOKUP(A244,Hoja2!$A$2:$C$264,3,FALSE),0)</f>
        <v>7163.75</v>
      </c>
      <c r="O244" s="4">
        <v>0.7329</v>
      </c>
    </row>
    <row r="245" spans="1:15" x14ac:dyDescent="0.25">
      <c r="A245">
        <v>778</v>
      </c>
      <c r="B245" t="s">
        <v>802</v>
      </c>
      <c r="C245" t="s">
        <v>215</v>
      </c>
      <c r="D245" t="s">
        <v>215</v>
      </c>
      <c r="E245" t="s">
        <v>215</v>
      </c>
      <c r="F245" t="s">
        <v>802</v>
      </c>
      <c r="G245" t="s">
        <v>803</v>
      </c>
      <c r="H245" t="s">
        <v>804</v>
      </c>
      <c r="I245" t="s">
        <v>49</v>
      </c>
      <c r="J245">
        <v>6995.666666666667</v>
      </c>
      <c r="K245" s="3">
        <v>2</v>
      </c>
      <c r="L245" s="3">
        <v>1</v>
      </c>
      <c r="M245" s="3">
        <f>IFERROR(VLOOKUP(A245,Hoja2!$A$2:$C$264,2,FALSE),0)</f>
        <v>1229.7272727272727</v>
      </c>
      <c r="N245" s="3">
        <f>IFERROR(VLOOKUP(A245,Hoja2!$A$2:$C$264,3,FALSE),0)</f>
        <v>8656.75</v>
      </c>
      <c r="O245" s="4">
        <v>0.75890000000000002</v>
      </c>
    </row>
    <row r="246" spans="1:15" x14ac:dyDescent="0.25">
      <c r="A246">
        <v>787</v>
      </c>
      <c r="B246" t="s">
        <v>805</v>
      </c>
      <c r="C246" t="s">
        <v>17</v>
      </c>
      <c r="D246" t="s">
        <v>18</v>
      </c>
      <c r="E246" t="s">
        <v>18</v>
      </c>
      <c r="F246" t="s">
        <v>19</v>
      </c>
      <c r="G246" t="s">
        <v>806</v>
      </c>
      <c r="H246" t="s">
        <v>807</v>
      </c>
      <c r="I246" t="s">
        <v>66</v>
      </c>
      <c r="J246">
        <v>8151.333333333333</v>
      </c>
      <c r="K246" s="3">
        <v>2</v>
      </c>
      <c r="L246" s="3">
        <v>1</v>
      </c>
      <c r="M246" s="3">
        <f>IFERROR(VLOOKUP(A246,Hoja2!$A$2:$C$264,2,FALSE),0)</f>
        <v>1009.0833333333334</v>
      </c>
      <c r="N246" s="3">
        <f>IFERROR(VLOOKUP(A246,Hoja2!$A$2:$C$264,3,FALSE),0)</f>
        <v>7840.75</v>
      </c>
      <c r="O246" s="4">
        <v>0.7714333333333333</v>
      </c>
    </row>
    <row r="247" spans="1:15" x14ac:dyDescent="0.25">
      <c r="A247">
        <v>791</v>
      </c>
      <c r="B247" t="s">
        <v>808</v>
      </c>
      <c r="C247" t="s">
        <v>68</v>
      </c>
      <c r="D247" t="s">
        <v>18</v>
      </c>
      <c r="E247" t="s">
        <v>18</v>
      </c>
      <c r="F247" t="s">
        <v>68</v>
      </c>
      <c r="G247" t="s">
        <v>809</v>
      </c>
      <c r="H247" t="s">
        <v>810</v>
      </c>
      <c r="I247" t="s">
        <v>15</v>
      </c>
      <c r="J247">
        <v>4056.3333333333335</v>
      </c>
      <c r="K247" s="3">
        <v>1</v>
      </c>
      <c r="L247" s="3">
        <v>2</v>
      </c>
      <c r="M247" s="3">
        <f>IFERROR(VLOOKUP(A247,Hoja2!$A$2:$C$264,2,FALSE),0)</f>
        <v>797.4545454545455</v>
      </c>
      <c r="N247" s="3">
        <f>IFERROR(VLOOKUP(A247,Hoja2!$A$2:$C$264,3,FALSE),0)</f>
        <v>4593</v>
      </c>
      <c r="O247" s="4">
        <v>0.63583333333333336</v>
      </c>
    </row>
    <row r="248" spans="1:15" x14ac:dyDescent="0.25">
      <c r="A248">
        <v>796</v>
      </c>
      <c r="B248" t="s">
        <v>811</v>
      </c>
      <c r="C248" t="s">
        <v>41</v>
      </c>
      <c r="D248" t="s">
        <v>516</v>
      </c>
      <c r="E248" t="s">
        <v>515</v>
      </c>
      <c r="F248" t="s">
        <v>515</v>
      </c>
      <c r="G248" t="s">
        <v>812</v>
      </c>
      <c r="H248" t="s">
        <v>813</v>
      </c>
      <c r="I248" t="s">
        <v>49</v>
      </c>
      <c r="J248">
        <v>5919.666666666667</v>
      </c>
      <c r="K248" s="3">
        <v>1</v>
      </c>
      <c r="L248" s="3">
        <v>1</v>
      </c>
      <c r="M248" s="3">
        <f>IFERROR(VLOOKUP(A248,Hoja2!$A$2:$C$264,2,FALSE),0)</f>
        <v>974.1</v>
      </c>
      <c r="N248" s="3">
        <f>IFERROR(VLOOKUP(A248,Hoja2!$A$2:$C$264,3,FALSE),0)</f>
        <v>6037</v>
      </c>
      <c r="O248" s="4">
        <v>0.52283333333333337</v>
      </c>
    </row>
    <row r="249" spans="1:15" x14ac:dyDescent="0.25">
      <c r="A249">
        <v>797</v>
      </c>
      <c r="B249" t="s">
        <v>814</v>
      </c>
      <c r="C249" t="s">
        <v>320</v>
      </c>
      <c r="D249" t="s">
        <v>539</v>
      </c>
      <c r="E249" t="s">
        <v>539</v>
      </c>
      <c r="F249" t="s">
        <v>555</v>
      </c>
      <c r="G249" t="s">
        <v>815</v>
      </c>
      <c r="H249" t="s">
        <v>816</v>
      </c>
      <c r="I249" t="s">
        <v>15</v>
      </c>
      <c r="J249">
        <v>5441</v>
      </c>
      <c r="K249" s="3">
        <v>1</v>
      </c>
      <c r="L249" s="3">
        <v>1</v>
      </c>
      <c r="M249" s="3">
        <f>IFERROR(VLOOKUP(A249,Hoja2!$A$2:$C$264,2,FALSE),0)</f>
        <v>1010</v>
      </c>
      <c r="N249" s="3">
        <f>IFERROR(VLOOKUP(A249,Hoja2!$A$2:$C$264,3,FALSE),0)</f>
        <v>6263</v>
      </c>
      <c r="O249" s="4">
        <v>0.69603333333333328</v>
      </c>
    </row>
    <row r="250" spans="1:15" x14ac:dyDescent="0.25">
      <c r="A250">
        <v>827</v>
      </c>
      <c r="B250" t="s">
        <v>817</v>
      </c>
      <c r="C250" t="s">
        <v>320</v>
      </c>
      <c r="D250" t="s">
        <v>319</v>
      </c>
      <c r="E250" t="s">
        <v>319</v>
      </c>
      <c r="F250" t="s">
        <v>319</v>
      </c>
      <c r="G250" t="s">
        <v>818</v>
      </c>
      <c r="H250" t="s">
        <v>819</v>
      </c>
      <c r="I250" t="s">
        <v>49</v>
      </c>
      <c r="J250">
        <v>6571</v>
      </c>
      <c r="K250" s="3">
        <v>3</v>
      </c>
      <c r="L250" s="3">
        <v>1</v>
      </c>
      <c r="M250" s="3">
        <f>IFERROR(VLOOKUP(A250,Hoja2!$A$2:$C$264,2,FALSE),0)</f>
        <v>1504.8888888888889</v>
      </c>
      <c r="N250" s="3">
        <f>IFERROR(VLOOKUP(A250,Hoja2!$A$2:$C$264,3,FALSE),0)</f>
        <v>7938.25</v>
      </c>
      <c r="O250" s="4">
        <v>0.80256666666666676</v>
      </c>
    </row>
    <row r="251" spans="1:15" x14ac:dyDescent="0.25">
      <c r="A251">
        <v>832</v>
      </c>
      <c r="B251" t="s">
        <v>820</v>
      </c>
      <c r="C251" t="s">
        <v>56</v>
      </c>
      <c r="D251" t="s">
        <v>18</v>
      </c>
      <c r="E251" t="s">
        <v>18</v>
      </c>
      <c r="F251" t="s">
        <v>136</v>
      </c>
      <c r="G251" t="s">
        <v>821</v>
      </c>
      <c r="H251" t="s">
        <v>822</v>
      </c>
      <c r="I251" t="s">
        <v>66</v>
      </c>
      <c r="J251">
        <v>5382.333333333333</v>
      </c>
      <c r="K251" s="3">
        <v>2</v>
      </c>
      <c r="L251" s="3">
        <v>2</v>
      </c>
      <c r="M251" s="3">
        <f>IFERROR(VLOOKUP(A251,Hoja2!$A$2:$C$264,2,FALSE),0)</f>
        <v>1729.6666666666667</v>
      </c>
      <c r="N251" s="3">
        <f>IFERROR(VLOOKUP(A251,Hoja2!$A$2:$C$264,3,FALSE),0)</f>
        <v>8005.75</v>
      </c>
      <c r="O251" s="4">
        <v>0.65016666666666667</v>
      </c>
    </row>
    <row r="252" spans="1:15" x14ac:dyDescent="0.25">
      <c r="A252">
        <v>841</v>
      </c>
      <c r="B252" t="s">
        <v>823</v>
      </c>
      <c r="C252" t="s">
        <v>81</v>
      </c>
      <c r="D252" t="s">
        <v>18</v>
      </c>
      <c r="E252" t="s">
        <v>18</v>
      </c>
      <c r="F252" t="s">
        <v>247</v>
      </c>
      <c r="G252" t="s">
        <v>824</v>
      </c>
      <c r="H252" t="s">
        <v>825</v>
      </c>
      <c r="I252" t="s">
        <v>34</v>
      </c>
      <c r="J252">
        <v>358</v>
      </c>
      <c r="K252" s="3">
        <v>0</v>
      </c>
      <c r="L252" s="3">
        <v>0</v>
      </c>
      <c r="M252" s="3">
        <f>IFERROR(VLOOKUP(A252,Hoja2!$A$2:$C$264,2,FALSE),0)</f>
        <v>0</v>
      </c>
      <c r="N252" s="3">
        <f>IFERROR(VLOOKUP(A252,Hoja2!$A$2:$C$264,3,FALSE),0)</f>
        <v>0</v>
      </c>
      <c r="O252" s="4">
        <v>0</v>
      </c>
    </row>
    <row r="253" spans="1:15" x14ac:dyDescent="0.25">
      <c r="A253">
        <v>842</v>
      </c>
      <c r="B253" t="s">
        <v>826</v>
      </c>
      <c r="C253" t="s">
        <v>81</v>
      </c>
      <c r="D253" t="s">
        <v>18</v>
      </c>
      <c r="E253" t="s">
        <v>18</v>
      </c>
      <c r="F253" t="s">
        <v>826</v>
      </c>
      <c r="G253" t="s">
        <v>827</v>
      </c>
      <c r="H253" t="s">
        <v>828</v>
      </c>
      <c r="I253" t="s">
        <v>15</v>
      </c>
      <c r="J253">
        <v>3015.6666666666665</v>
      </c>
      <c r="K253" s="3">
        <v>1</v>
      </c>
      <c r="L253" s="3">
        <v>0</v>
      </c>
      <c r="M253" s="3">
        <f>IFERROR(VLOOKUP(A253,Hoja2!$A$2:$C$264,2,FALSE),0)</f>
        <v>856.625</v>
      </c>
      <c r="N253" s="3">
        <f>IFERROR(VLOOKUP(A253,Hoja2!$A$2:$C$264,3,FALSE),0)</f>
        <v>4326.5</v>
      </c>
      <c r="O253" s="4">
        <v>0.73796666666666677</v>
      </c>
    </row>
    <row r="254" spans="1:15" x14ac:dyDescent="0.25">
      <c r="A254">
        <v>843</v>
      </c>
      <c r="B254" t="s">
        <v>829</v>
      </c>
      <c r="C254" t="s">
        <v>27</v>
      </c>
      <c r="D254" t="s">
        <v>28</v>
      </c>
      <c r="E254" t="s">
        <v>27</v>
      </c>
      <c r="F254" t="s">
        <v>27</v>
      </c>
      <c r="G254" t="s">
        <v>830</v>
      </c>
      <c r="H254" t="s">
        <v>831</v>
      </c>
      <c r="I254" t="s">
        <v>15</v>
      </c>
      <c r="J254">
        <v>5206</v>
      </c>
      <c r="K254" s="3">
        <v>2</v>
      </c>
      <c r="L254" s="3">
        <v>1</v>
      </c>
      <c r="M254" s="3">
        <f>IFERROR(VLOOKUP(A254,Hoja2!$A$2:$C$264,2,FALSE),0)</f>
        <v>899.8</v>
      </c>
      <c r="N254" s="3">
        <f>IFERROR(VLOOKUP(A254,Hoja2!$A$2:$C$264,3,FALSE),0)</f>
        <v>6198.75</v>
      </c>
      <c r="O254" s="4">
        <v>0.77500000000000002</v>
      </c>
    </row>
    <row r="255" spans="1:15" x14ac:dyDescent="0.25">
      <c r="A255">
        <v>847</v>
      </c>
      <c r="B255" t="s">
        <v>832</v>
      </c>
      <c r="C255" t="s">
        <v>81</v>
      </c>
      <c r="D255" t="s">
        <v>18</v>
      </c>
      <c r="E255" t="s">
        <v>18</v>
      </c>
      <c r="F255" t="s">
        <v>97</v>
      </c>
      <c r="G255" t="s">
        <v>833</v>
      </c>
      <c r="H255" t="s">
        <v>834</v>
      </c>
      <c r="I255" t="s">
        <v>15</v>
      </c>
      <c r="J255">
        <v>4535.333333333333</v>
      </c>
      <c r="K255" s="3">
        <v>1</v>
      </c>
      <c r="L255" s="3">
        <v>2</v>
      </c>
      <c r="M255" s="3">
        <f>IFERROR(VLOOKUP(A255,Hoja2!$A$2:$C$264,2,FALSE),0)</f>
        <v>1461.3333333333333</v>
      </c>
      <c r="N255" s="3">
        <f>IFERROR(VLOOKUP(A255,Hoja2!$A$2:$C$264,3,FALSE),0)</f>
        <v>6313</v>
      </c>
      <c r="O255" s="4">
        <v>0.73196666666666665</v>
      </c>
    </row>
    <row r="256" spans="1:15" x14ac:dyDescent="0.25">
      <c r="A256">
        <v>849</v>
      </c>
      <c r="B256" t="s">
        <v>835</v>
      </c>
      <c r="C256" t="s">
        <v>36</v>
      </c>
      <c r="D256" t="s">
        <v>18</v>
      </c>
      <c r="E256" t="s">
        <v>18</v>
      </c>
      <c r="F256" t="s">
        <v>116</v>
      </c>
      <c r="G256" t="s">
        <v>836</v>
      </c>
      <c r="H256" t="s">
        <v>837</v>
      </c>
      <c r="I256" t="s">
        <v>15</v>
      </c>
      <c r="J256">
        <v>4259.333333333333</v>
      </c>
      <c r="K256" s="3">
        <v>2</v>
      </c>
      <c r="L256" s="3">
        <v>1</v>
      </c>
      <c r="M256" s="3">
        <f>IFERROR(VLOOKUP(A256,Hoja2!$A$2:$C$264,2,FALSE),0)</f>
        <v>1121.625</v>
      </c>
      <c r="N256" s="3">
        <f>IFERROR(VLOOKUP(A256,Hoja2!$A$2:$C$264,3,FALSE),0)</f>
        <v>5334.5</v>
      </c>
      <c r="O256" s="4">
        <v>0.77246666666666652</v>
      </c>
    </row>
    <row r="257" spans="1:15" x14ac:dyDescent="0.25">
      <c r="A257">
        <v>857</v>
      </c>
      <c r="B257" t="s">
        <v>838</v>
      </c>
      <c r="C257" t="s">
        <v>36</v>
      </c>
      <c r="D257" t="s">
        <v>18</v>
      </c>
      <c r="E257" t="s">
        <v>18</v>
      </c>
      <c r="F257" t="s">
        <v>154</v>
      </c>
      <c r="G257" t="s">
        <v>839</v>
      </c>
      <c r="H257" t="s">
        <v>840</v>
      </c>
      <c r="I257" t="s">
        <v>15</v>
      </c>
      <c r="J257">
        <v>4264</v>
      </c>
      <c r="K257" s="3">
        <v>1</v>
      </c>
      <c r="L257" s="3">
        <v>1</v>
      </c>
      <c r="M257" s="3">
        <f>IFERROR(VLOOKUP(A257,Hoja2!$A$2:$C$264,2,FALSE),0)</f>
        <v>949</v>
      </c>
      <c r="N257" s="3">
        <f>IFERROR(VLOOKUP(A257,Hoja2!$A$2:$C$264,3,FALSE),0)</f>
        <v>5642.25</v>
      </c>
      <c r="O257" s="4">
        <v>0.82769999999999999</v>
      </c>
    </row>
    <row r="258" spans="1:15" x14ac:dyDescent="0.25">
      <c r="A258">
        <v>868</v>
      </c>
      <c r="B258" t="s">
        <v>841</v>
      </c>
      <c r="C258" t="s">
        <v>36</v>
      </c>
      <c r="D258" t="s">
        <v>18</v>
      </c>
      <c r="E258" t="s">
        <v>323</v>
      </c>
      <c r="F258" t="s">
        <v>841</v>
      </c>
      <c r="G258" t="s">
        <v>842</v>
      </c>
      <c r="H258" t="s">
        <v>843</v>
      </c>
      <c r="I258" t="s">
        <v>114</v>
      </c>
      <c r="J258">
        <v>1982.3333333333333</v>
      </c>
      <c r="K258" s="3">
        <v>1</v>
      </c>
      <c r="L258" s="3">
        <v>1</v>
      </c>
      <c r="M258" s="3">
        <f>IFERROR(VLOOKUP(A258,Hoja2!$A$2:$C$264,2,FALSE),0)</f>
        <v>331.77777777777777</v>
      </c>
      <c r="N258" s="3">
        <f>IFERROR(VLOOKUP(A258,Hoja2!$A$2:$C$264,3,FALSE),0)</f>
        <v>1463.75</v>
      </c>
      <c r="O258" s="4">
        <v>0.96063333333333334</v>
      </c>
    </row>
    <row r="259" spans="1:15" x14ac:dyDescent="0.25">
      <c r="A259">
        <v>732</v>
      </c>
      <c r="B259" t="s">
        <v>844</v>
      </c>
      <c r="C259" t="s">
        <v>101</v>
      </c>
      <c r="D259" t="s">
        <v>18</v>
      </c>
      <c r="E259" t="s">
        <v>18</v>
      </c>
      <c r="F259" t="s">
        <v>120</v>
      </c>
      <c r="G259" t="s">
        <v>845</v>
      </c>
      <c r="H259" t="s">
        <v>846</v>
      </c>
      <c r="I259" t="s">
        <v>15</v>
      </c>
      <c r="J259">
        <v>2546.3333333333335</v>
      </c>
      <c r="K259" s="3">
        <v>2</v>
      </c>
      <c r="L259" s="3">
        <v>2</v>
      </c>
      <c r="M259" s="3">
        <f>IFERROR(VLOOKUP(A259,Hoja2!$A$2:$C$264,2,FALSE),0)</f>
        <v>509.5</v>
      </c>
      <c r="N259" s="3">
        <f>IFERROR(VLOOKUP(A259,Hoja2!$A$2:$C$264,3,FALSE),0)</f>
        <v>2858.75</v>
      </c>
      <c r="O259" s="4">
        <v>0.8469000000000001</v>
      </c>
    </row>
    <row r="260" spans="1:15" x14ac:dyDescent="0.25">
      <c r="A260">
        <v>879</v>
      </c>
      <c r="B260" t="s">
        <v>847</v>
      </c>
      <c r="C260" t="s">
        <v>17</v>
      </c>
      <c r="D260" t="s">
        <v>18</v>
      </c>
      <c r="E260" t="s">
        <v>18</v>
      </c>
      <c r="F260" t="s">
        <v>19</v>
      </c>
      <c r="G260" t="s">
        <v>848</v>
      </c>
      <c r="H260" t="s">
        <v>849</v>
      </c>
      <c r="I260" t="s">
        <v>49</v>
      </c>
      <c r="J260">
        <v>5778.666666666667</v>
      </c>
      <c r="K260" s="3">
        <v>2</v>
      </c>
      <c r="L260" s="3">
        <v>2</v>
      </c>
      <c r="M260" s="3">
        <f>IFERROR(VLOOKUP(A260,Hoja2!$A$2:$C$264,2,FALSE),0)</f>
        <v>819.83333333333337</v>
      </c>
      <c r="N260" s="3">
        <f>IFERROR(VLOOKUP(A260,Hoja2!$A$2:$C$264,3,FALSE),0)</f>
        <v>6820.75</v>
      </c>
      <c r="O260" s="4">
        <v>0.78946666666666665</v>
      </c>
    </row>
    <row r="261" spans="1:15" x14ac:dyDescent="0.25">
      <c r="A261">
        <v>891</v>
      </c>
      <c r="B261" t="s">
        <v>850</v>
      </c>
      <c r="C261" t="s">
        <v>320</v>
      </c>
      <c r="D261" t="s">
        <v>539</v>
      </c>
      <c r="E261" t="s">
        <v>850</v>
      </c>
      <c r="F261" t="s">
        <v>850</v>
      </c>
      <c r="G261" t="s">
        <v>851</v>
      </c>
      <c r="H261" t="s">
        <v>852</v>
      </c>
      <c r="I261" t="s">
        <v>15</v>
      </c>
      <c r="J261">
        <v>3704.3333333333335</v>
      </c>
      <c r="K261" s="3">
        <v>1</v>
      </c>
      <c r="L261" s="3">
        <v>0</v>
      </c>
      <c r="M261" s="3">
        <f>IFERROR(VLOOKUP(A261,Hoja2!$A$2:$C$264,2,FALSE),0)</f>
        <v>461.7</v>
      </c>
      <c r="N261" s="3">
        <f>IFERROR(VLOOKUP(A261,Hoja2!$A$2:$C$264,3,FALSE),0)</f>
        <v>3705.75</v>
      </c>
      <c r="O261" s="4">
        <v>0.81289999999999996</v>
      </c>
    </row>
    <row r="262" spans="1:15" x14ac:dyDescent="0.25">
      <c r="A262">
        <v>900</v>
      </c>
      <c r="B262" t="s">
        <v>853</v>
      </c>
      <c r="C262" t="s">
        <v>27</v>
      </c>
      <c r="D262" t="s">
        <v>28</v>
      </c>
      <c r="E262" t="s">
        <v>27</v>
      </c>
      <c r="F262" t="s">
        <v>27</v>
      </c>
      <c r="G262" t="s">
        <v>854</v>
      </c>
      <c r="H262" t="s">
        <v>855</v>
      </c>
      <c r="I262" t="s">
        <v>15</v>
      </c>
      <c r="J262">
        <v>5728.333333333333</v>
      </c>
      <c r="K262" s="3">
        <v>3</v>
      </c>
      <c r="L262" s="3">
        <v>2</v>
      </c>
      <c r="M262" s="3">
        <f>IFERROR(VLOOKUP(A262,Hoja2!$A$2:$C$264,2,FALSE),0)</f>
        <v>1454.7777777777778</v>
      </c>
      <c r="N262" s="3">
        <f>IFERROR(VLOOKUP(A262,Hoja2!$A$2:$C$264,3,FALSE),0)</f>
        <v>6699</v>
      </c>
      <c r="O262" s="4">
        <v>0.73816666666666675</v>
      </c>
    </row>
    <row r="263" spans="1:15" x14ac:dyDescent="0.25">
      <c r="A263">
        <v>908</v>
      </c>
      <c r="B263" t="s">
        <v>345</v>
      </c>
      <c r="C263" t="s">
        <v>215</v>
      </c>
      <c r="D263" t="s">
        <v>215</v>
      </c>
      <c r="E263" t="s">
        <v>215</v>
      </c>
      <c r="F263" t="s">
        <v>345</v>
      </c>
      <c r="G263" t="s">
        <v>856</v>
      </c>
      <c r="H263" t="s">
        <v>857</v>
      </c>
      <c r="I263" t="s">
        <v>15</v>
      </c>
      <c r="J263">
        <v>5072.666666666667</v>
      </c>
      <c r="K263" s="3">
        <v>2</v>
      </c>
      <c r="L263" s="3">
        <v>1</v>
      </c>
      <c r="M263" s="3">
        <f>IFERROR(VLOOKUP(A263,Hoja2!$A$2:$C$264,2,FALSE),0)</f>
        <v>952.88888888888891</v>
      </c>
      <c r="N263" s="3">
        <f>IFERROR(VLOOKUP(A263,Hoja2!$A$2:$C$264,3,FALSE),0)</f>
        <v>5102.75</v>
      </c>
      <c r="O263" s="4">
        <v>0.91103333333333325</v>
      </c>
    </row>
    <row r="264" spans="1:15" x14ac:dyDescent="0.25">
      <c r="A264">
        <v>918</v>
      </c>
      <c r="B264" t="s">
        <v>858</v>
      </c>
      <c r="C264" t="s">
        <v>27</v>
      </c>
      <c r="D264" t="s">
        <v>28</v>
      </c>
      <c r="E264" t="s">
        <v>27</v>
      </c>
      <c r="F264" t="s">
        <v>27</v>
      </c>
      <c r="G264" t="s">
        <v>859</v>
      </c>
      <c r="H264" t="s">
        <v>860</v>
      </c>
      <c r="I264" t="s">
        <v>114</v>
      </c>
      <c r="J264">
        <v>37.333333333333336</v>
      </c>
      <c r="K264" s="3">
        <v>2</v>
      </c>
      <c r="L264" s="3">
        <v>1</v>
      </c>
      <c r="M264" s="3">
        <f>IFERROR(VLOOKUP(A264,Hoja2!$A$2:$C$264,2,FALSE),0)</f>
        <v>0</v>
      </c>
      <c r="N264" s="3">
        <f>IFERROR(VLOOKUP(A264,Hoja2!$A$2:$C$264,3,FALSE),0)</f>
        <v>0</v>
      </c>
      <c r="O264" s="4">
        <v>1</v>
      </c>
    </row>
    <row r="265" spans="1:15" x14ac:dyDescent="0.25">
      <c r="A265">
        <v>921</v>
      </c>
      <c r="B265" t="s">
        <v>861</v>
      </c>
      <c r="C265" t="s">
        <v>60</v>
      </c>
      <c r="D265" t="s">
        <v>18</v>
      </c>
      <c r="E265" t="s">
        <v>18</v>
      </c>
      <c r="F265" t="s">
        <v>59</v>
      </c>
      <c r="G265" t="s">
        <v>862</v>
      </c>
      <c r="H265" t="s">
        <v>863</v>
      </c>
      <c r="I265" t="s">
        <v>114</v>
      </c>
      <c r="J265">
        <v>636.66666666666663</v>
      </c>
      <c r="K265" s="3">
        <v>1</v>
      </c>
      <c r="L265" s="3">
        <v>0</v>
      </c>
      <c r="M265" s="3">
        <f>IFERROR(VLOOKUP(A265,Hoja2!$A$2:$C$264,2,FALSE),0)</f>
        <v>261.375</v>
      </c>
      <c r="N265" s="3">
        <f>IFERROR(VLOOKUP(A265,Hoja2!$A$2:$C$264,3,FALSE),0)</f>
        <v>1024.25</v>
      </c>
      <c r="O265" s="4">
        <v>0.9710333333333333</v>
      </c>
    </row>
    <row r="266" spans="1:15" x14ac:dyDescent="0.25">
      <c r="A266">
        <v>933</v>
      </c>
      <c r="B266" t="s">
        <v>864</v>
      </c>
      <c r="C266" t="s">
        <v>36</v>
      </c>
      <c r="D266" t="s">
        <v>18</v>
      </c>
      <c r="E266" t="s">
        <v>18</v>
      </c>
      <c r="F266" t="s">
        <v>864</v>
      </c>
      <c r="G266" t="s">
        <v>865</v>
      </c>
      <c r="H266" t="s">
        <v>866</v>
      </c>
      <c r="I266" t="s">
        <v>49</v>
      </c>
      <c r="J266">
        <v>3780.6666666666665</v>
      </c>
      <c r="K266" s="3">
        <v>2</v>
      </c>
      <c r="L266" s="3">
        <v>1</v>
      </c>
      <c r="M266" s="3">
        <f>IFERROR(VLOOKUP(A266,Hoja2!$A$2:$C$264,2,FALSE),0)</f>
        <v>1316.5555555555557</v>
      </c>
      <c r="N266" s="3">
        <f>IFERROR(VLOOKUP(A266,Hoja2!$A$2:$C$264,3,FALSE),0)</f>
        <v>6293</v>
      </c>
      <c r="O266" s="4">
        <v>0.78206666666666669</v>
      </c>
    </row>
    <row r="267" spans="1:15" x14ac:dyDescent="0.25">
      <c r="A267">
        <v>876</v>
      </c>
      <c r="B267" t="s">
        <v>867</v>
      </c>
      <c r="C267" t="s">
        <v>101</v>
      </c>
      <c r="D267" t="s">
        <v>18</v>
      </c>
      <c r="E267" t="s">
        <v>18</v>
      </c>
      <c r="F267" t="s">
        <v>120</v>
      </c>
      <c r="G267" t="s">
        <v>868</v>
      </c>
      <c r="H267" t="s">
        <v>869</v>
      </c>
      <c r="I267" t="s">
        <v>15</v>
      </c>
      <c r="J267">
        <v>3906.3333333333335</v>
      </c>
      <c r="K267" s="3">
        <v>2</v>
      </c>
      <c r="L267" s="3">
        <v>1</v>
      </c>
      <c r="M267" s="3">
        <f>IFERROR(VLOOKUP(A267,Hoja2!$A$2:$C$264,2,FALSE),0)</f>
        <v>875.4</v>
      </c>
      <c r="N267" s="3">
        <f>IFERROR(VLOOKUP(A267,Hoja2!$A$2:$C$264,3,FALSE),0)</f>
        <v>4970</v>
      </c>
      <c r="O267" s="4">
        <v>0.86673333333333336</v>
      </c>
    </row>
    <row r="268" spans="1:15" x14ac:dyDescent="0.25">
      <c r="A268">
        <v>960</v>
      </c>
      <c r="B268" t="s">
        <v>870</v>
      </c>
      <c r="C268" t="s">
        <v>51</v>
      </c>
      <c r="D268" t="s">
        <v>18</v>
      </c>
      <c r="E268" t="s">
        <v>18</v>
      </c>
      <c r="F268" t="s">
        <v>52</v>
      </c>
      <c r="G268" t="s">
        <v>871</v>
      </c>
      <c r="H268" t="s">
        <v>872</v>
      </c>
      <c r="I268" t="s">
        <v>15</v>
      </c>
      <c r="J268">
        <v>2720</v>
      </c>
      <c r="K268" s="3">
        <v>1</v>
      </c>
      <c r="L268" s="3">
        <v>0</v>
      </c>
      <c r="M268" s="3">
        <f>IFERROR(VLOOKUP(A268,Hoja2!$A$2:$C$264,2,FALSE),0)</f>
        <v>758.3</v>
      </c>
      <c r="N268" s="3">
        <f>IFERROR(VLOOKUP(A268,Hoja2!$A$2:$C$264,3,FALSE),0)</f>
        <v>4070.75</v>
      </c>
      <c r="O268" s="4">
        <v>0.91523333333333323</v>
      </c>
    </row>
    <row r="269" spans="1:15" x14ac:dyDescent="0.25">
      <c r="A269">
        <v>970</v>
      </c>
      <c r="B269" t="s">
        <v>873</v>
      </c>
      <c r="C269" t="s">
        <v>81</v>
      </c>
      <c r="D269" t="s">
        <v>18</v>
      </c>
      <c r="E269" t="s">
        <v>18</v>
      </c>
      <c r="F269" t="s">
        <v>80</v>
      </c>
      <c r="G269" t="s">
        <v>874</v>
      </c>
      <c r="H269" t="s">
        <v>875</v>
      </c>
      <c r="I269" t="s">
        <v>15</v>
      </c>
      <c r="J269">
        <v>4567.666666666667</v>
      </c>
      <c r="K269" s="3">
        <v>1</v>
      </c>
      <c r="L269" s="3">
        <v>1</v>
      </c>
      <c r="M269" s="3">
        <f>IFERROR(VLOOKUP(A269,Hoja2!$A$2:$C$264,2,FALSE),0)</f>
        <v>1456</v>
      </c>
      <c r="N269" s="3">
        <f>IFERROR(VLOOKUP(A269,Hoja2!$A$2:$C$264,3,FALSE),0)</f>
        <v>6912.5</v>
      </c>
      <c r="O269" s="4">
        <v>0.76396666666666668</v>
      </c>
    </row>
    <row r="270" spans="1:15" x14ac:dyDescent="0.25">
      <c r="A270">
        <v>976</v>
      </c>
      <c r="B270" t="s">
        <v>876</v>
      </c>
      <c r="C270" t="s">
        <v>11</v>
      </c>
      <c r="D270" t="s">
        <v>12</v>
      </c>
      <c r="E270" t="s">
        <v>877</v>
      </c>
      <c r="F270" t="s">
        <v>878</v>
      </c>
      <c r="G270" t="s">
        <v>879</v>
      </c>
      <c r="H270" t="s">
        <v>880</v>
      </c>
      <c r="I270" t="s">
        <v>114</v>
      </c>
      <c r="J270">
        <v>3988.6666666666665</v>
      </c>
      <c r="K270" s="3">
        <v>1</v>
      </c>
      <c r="L270" s="3">
        <v>0</v>
      </c>
      <c r="M270" s="3">
        <f>IFERROR(VLOOKUP(A270,Hoja2!$A$2:$C$264,2,FALSE),0)</f>
        <v>466.71428571428572</v>
      </c>
      <c r="N270" s="3">
        <f>IFERROR(VLOOKUP(A270,Hoja2!$A$2:$C$264,3,FALSE),0)</f>
        <v>2075</v>
      </c>
      <c r="O270" s="4">
        <v>0.82820000000000016</v>
      </c>
    </row>
    <row r="271" spans="1:15" x14ac:dyDescent="0.25">
      <c r="A271">
        <v>982</v>
      </c>
      <c r="B271" t="s">
        <v>881</v>
      </c>
      <c r="C271" t="s">
        <v>320</v>
      </c>
      <c r="D271" t="s">
        <v>372</v>
      </c>
      <c r="E271" t="s">
        <v>373</v>
      </c>
      <c r="F271" t="s">
        <v>882</v>
      </c>
      <c r="G271" t="s">
        <v>883</v>
      </c>
      <c r="H271" t="s">
        <v>884</v>
      </c>
      <c r="I271" t="s">
        <v>49</v>
      </c>
      <c r="J271">
        <v>5769.666666666667</v>
      </c>
      <c r="K271" s="3">
        <v>1</v>
      </c>
      <c r="L271" s="3">
        <v>1</v>
      </c>
      <c r="M271" s="3">
        <f>IFERROR(VLOOKUP(A271,Hoja2!$A$2:$C$264,2,FALSE),0)</f>
        <v>752.88888888888891</v>
      </c>
      <c r="N271" s="3">
        <f>IFERROR(VLOOKUP(A271,Hoja2!$A$2:$C$264,3,FALSE),0)</f>
        <v>5820.75</v>
      </c>
      <c r="O271" s="4">
        <v>0.78956666666666664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4"/>
  <sheetViews>
    <sheetView topLeftCell="A225" workbookViewId="0">
      <selection activeCell="B21" sqref="B21"/>
    </sheetView>
  </sheetViews>
  <sheetFormatPr baseColWidth="10" defaultRowHeight="15" x14ac:dyDescent="0.25"/>
  <cols>
    <col min="2" max="2" width="18.7109375" customWidth="1"/>
    <col min="3" max="3" width="17" customWidth="1"/>
  </cols>
  <sheetData>
    <row r="1" spans="1:3" x14ac:dyDescent="0.25">
      <c r="A1" t="s">
        <v>1</v>
      </c>
      <c r="B1" t="s">
        <v>890</v>
      </c>
      <c r="C1" t="s">
        <v>891</v>
      </c>
    </row>
    <row r="2" spans="1:3" x14ac:dyDescent="0.25">
      <c r="A2" s="6">
        <v>10</v>
      </c>
      <c r="B2" s="5">
        <v>865.77777777777783</v>
      </c>
      <c r="C2" s="5">
        <v>6519</v>
      </c>
    </row>
    <row r="3" spans="1:3" x14ac:dyDescent="0.25">
      <c r="A3" s="6">
        <v>12</v>
      </c>
      <c r="B3" s="5">
        <v>4.5999999999999996</v>
      </c>
      <c r="C3" s="5">
        <v>78</v>
      </c>
    </row>
    <row r="4" spans="1:3" x14ac:dyDescent="0.25">
      <c r="A4" s="6">
        <v>13</v>
      </c>
      <c r="B4" s="5">
        <v>875.81818181818187</v>
      </c>
      <c r="C4" s="5">
        <v>5142.5</v>
      </c>
    </row>
    <row r="5" spans="1:3" x14ac:dyDescent="0.25">
      <c r="A5" s="6">
        <v>23</v>
      </c>
      <c r="B5" s="5">
        <v>701.4</v>
      </c>
      <c r="C5" s="5">
        <v>4750</v>
      </c>
    </row>
    <row r="6" spans="1:3" x14ac:dyDescent="0.25">
      <c r="A6" s="6">
        <v>30</v>
      </c>
      <c r="B6" s="5">
        <v>864.5</v>
      </c>
      <c r="C6" s="5">
        <v>4294.5</v>
      </c>
    </row>
    <row r="7" spans="1:3" x14ac:dyDescent="0.25">
      <c r="A7" s="6">
        <v>38</v>
      </c>
      <c r="B7" s="5">
        <v>77.571428571428569</v>
      </c>
      <c r="C7" s="5">
        <v>399</v>
      </c>
    </row>
    <row r="8" spans="1:3" x14ac:dyDescent="0.25">
      <c r="A8" s="6">
        <v>48</v>
      </c>
      <c r="B8" s="5">
        <v>862</v>
      </c>
      <c r="C8" s="5">
        <v>4689.5</v>
      </c>
    </row>
    <row r="9" spans="1:3" x14ac:dyDescent="0.25">
      <c r="A9" s="6">
        <v>81</v>
      </c>
      <c r="B9" s="5">
        <v>679.75</v>
      </c>
      <c r="C9" s="5">
        <v>4191</v>
      </c>
    </row>
    <row r="10" spans="1:3" x14ac:dyDescent="0.25">
      <c r="A10" s="6">
        <v>83</v>
      </c>
      <c r="B10" s="5">
        <v>1131.4000000000001</v>
      </c>
      <c r="C10" s="5">
        <v>6708.5</v>
      </c>
    </row>
    <row r="11" spans="1:3" x14ac:dyDescent="0.25">
      <c r="A11" s="6">
        <v>94</v>
      </c>
      <c r="B11" s="5">
        <v>1314.2</v>
      </c>
      <c r="C11" s="5">
        <v>6900.25</v>
      </c>
    </row>
    <row r="12" spans="1:3" x14ac:dyDescent="0.25">
      <c r="A12" s="6">
        <v>101</v>
      </c>
      <c r="B12" s="5">
        <v>1276.5999999999999</v>
      </c>
      <c r="C12" s="5">
        <v>6859.5</v>
      </c>
    </row>
    <row r="13" spans="1:3" x14ac:dyDescent="0.25">
      <c r="A13" s="6">
        <v>102</v>
      </c>
      <c r="B13" s="5">
        <v>1385.4444444444443</v>
      </c>
      <c r="C13" s="5">
        <v>7590.75</v>
      </c>
    </row>
    <row r="14" spans="1:3" x14ac:dyDescent="0.25">
      <c r="A14" s="6">
        <v>103</v>
      </c>
      <c r="B14" s="5">
        <v>921.3</v>
      </c>
      <c r="C14" s="5">
        <v>5469.5</v>
      </c>
    </row>
    <row r="15" spans="1:3" x14ac:dyDescent="0.25">
      <c r="A15" s="6">
        <v>106</v>
      </c>
      <c r="B15" s="5">
        <v>811.66666666666663</v>
      </c>
      <c r="C15" s="5">
        <v>6118.25</v>
      </c>
    </row>
    <row r="16" spans="1:3" x14ac:dyDescent="0.25">
      <c r="A16" s="6">
        <v>107</v>
      </c>
      <c r="B16" s="5">
        <v>579.20000000000005</v>
      </c>
      <c r="C16" s="5">
        <v>3108.5</v>
      </c>
    </row>
    <row r="17" spans="1:3" x14ac:dyDescent="0.25">
      <c r="A17" s="6">
        <v>108</v>
      </c>
      <c r="B17" s="5">
        <v>932.5</v>
      </c>
      <c r="C17" s="5">
        <v>5190</v>
      </c>
    </row>
    <row r="18" spans="1:3" x14ac:dyDescent="0.25">
      <c r="A18" s="6">
        <v>109</v>
      </c>
      <c r="B18" s="5">
        <v>1107.1818181818182</v>
      </c>
      <c r="C18" s="5">
        <v>7408.75</v>
      </c>
    </row>
    <row r="19" spans="1:3" x14ac:dyDescent="0.25">
      <c r="A19" s="6">
        <v>111</v>
      </c>
      <c r="B19" s="5">
        <v>782.3</v>
      </c>
      <c r="C19" s="5">
        <v>4616.25</v>
      </c>
    </row>
    <row r="20" spans="1:3" x14ac:dyDescent="0.25">
      <c r="A20" s="6">
        <v>112</v>
      </c>
      <c r="B20" s="5">
        <v>513.29999999999995</v>
      </c>
      <c r="C20" s="5">
        <v>3274.5</v>
      </c>
    </row>
    <row r="21" spans="1:3" x14ac:dyDescent="0.25">
      <c r="A21" s="6">
        <v>113</v>
      </c>
      <c r="B21" s="5">
        <v>920.2</v>
      </c>
      <c r="C21" s="5">
        <v>4864.75</v>
      </c>
    </row>
    <row r="22" spans="1:3" x14ac:dyDescent="0.25">
      <c r="A22" s="6">
        <v>114</v>
      </c>
      <c r="B22" s="5">
        <v>791.8</v>
      </c>
      <c r="C22" s="5">
        <v>4744</v>
      </c>
    </row>
    <row r="23" spans="1:3" x14ac:dyDescent="0.25">
      <c r="A23" s="6">
        <v>115</v>
      </c>
      <c r="B23" s="5">
        <v>815.9</v>
      </c>
      <c r="C23" s="5">
        <v>5435.75</v>
      </c>
    </row>
    <row r="24" spans="1:3" x14ac:dyDescent="0.25">
      <c r="A24" s="6">
        <v>116</v>
      </c>
      <c r="B24" s="5">
        <v>1101.75</v>
      </c>
      <c r="C24" s="5">
        <v>4818.5</v>
      </c>
    </row>
    <row r="25" spans="1:3" x14ac:dyDescent="0.25">
      <c r="A25" s="6">
        <v>117</v>
      </c>
      <c r="B25" s="5">
        <v>1605</v>
      </c>
      <c r="C25" s="5">
        <v>8981.75</v>
      </c>
    </row>
    <row r="26" spans="1:3" x14ac:dyDescent="0.25">
      <c r="A26" s="6">
        <v>118</v>
      </c>
      <c r="B26" s="5">
        <v>716.6</v>
      </c>
      <c r="C26" s="5">
        <v>3749.75</v>
      </c>
    </row>
    <row r="27" spans="1:3" x14ac:dyDescent="0.25">
      <c r="A27" s="6">
        <v>119</v>
      </c>
      <c r="B27" s="5">
        <v>713.77777777777783</v>
      </c>
      <c r="C27" s="5">
        <v>4446</v>
      </c>
    </row>
    <row r="28" spans="1:3" x14ac:dyDescent="0.25">
      <c r="A28" s="6">
        <v>120</v>
      </c>
      <c r="B28" s="5">
        <v>428.77777777777777</v>
      </c>
      <c r="C28" s="5">
        <v>3087.75</v>
      </c>
    </row>
    <row r="29" spans="1:3" x14ac:dyDescent="0.25">
      <c r="A29" s="6">
        <v>121</v>
      </c>
      <c r="B29" s="5">
        <v>1.3333333333333333</v>
      </c>
      <c r="C29" s="5">
        <v>1.75</v>
      </c>
    </row>
    <row r="30" spans="1:3" x14ac:dyDescent="0.25">
      <c r="A30" s="6">
        <v>122</v>
      </c>
      <c r="B30" s="5">
        <v>1417.6</v>
      </c>
      <c r="C30" s="5">
        <v>7668.5</v>
      </c>
    </row>
    <row r="31" spans="1:3" x14ac:dyDescent="0.25">
      <c r="A31" s="6">
        <v>123</v>
      </c>
      <c r="B31" s="5">
        <v>672.81818181818187</v>
      </c>
      <c r="C31" s="5">
        <v>4528.75</v>
      </c>
    </row>
    <row r="32" spans="1:3" x14ac:dyDescent="0.25">
      <c r="A32" s="6">
        <v>126</v>
      </c>
      <c r="B32" s="5">
        <v>668.72727272727275</v>
      </c>
      <c r="C32" s="5">
        <v>3916.75</v>
      </c>
    </row>
    <row r="33" spans="1:3" x14ac:dyDescent="0.25">
      <c r="A33" s="6">
        <v>127</v>
      </c>
      <c r="B33" s="5">
        <v>1952.5555555555557</v>
      </c>
      <c r="C33" s="5">
        <v>9000</v>
      </c>
    </row>
    <row r="34" spans="1:3" x14ac:dyDescent="0.25">
      <c r="A34" s="6">
        <v>128</v>
      </c>
      <c r="B34" s="5">
        <v>1189.1111111111111</v>
      </c>
      <c r="C34" s="5">
        <v>6155</v>
      </c>
    </row>
    <row r="35" spans="1:3" x14ac:dyDescent="0.25">
      <c r="A35" s="6">
        <v>129</v>
      </c>
      <c r="B35" s="5">
        <v>1322.625</v>
      </c>
      <c r="C35" s="5">
        <v>5230.75</v>
      </c>
    </row>
    <row r="36" spans="1:3" x14ac:dyDescent="0.25">
      <c r="A36" s="6">
        <v>130</v>
      </c>
      <c r="B36" s="5">
        <v>904.11111111111109</v>
      </c>
      <c r="C36" s="5">
        <v>4560</v>
      </c>
    </row>
    <row r="37" spans="1:3" x14ac:dyDescent="0.25">
      <c r="A37" s="6">
        <v>131</v>
      </c>
      <c r="B37" s="5">
        <v>702.9</v>
      </c>
      <c r="C37" s="5">
        <v>4408.25</v>
      </c>
    </row>
    <row r="38" spans="1:3" x14ac:dyDescent="0.25">
      <c r="A38" s="6">
        <v>132</v>
      </c>
      <c r="B38" s="5">
        <v>261.25</v>
      </c>
      <c r="C38" s="5">
        <v>1405.5</v>
      </c>
    </row>
    <row r="39" spans="1:3" x14ac:dyDescent="0.25">
      <c r="A39" s="6">
        <v>133</v>
      </c>
      <c r="B39" s="5">
        <v>1350.1111111111111</v>
      </c>
      <c r="C39" s="5">
        <v>6460.25</v>
      </c>
    </row>
    <row r="40" spans="1:3" x14ac:dyDescent="0.25">
      <c r="A40" s="6">
        <v>135</v>
      </c>
      <c r="B40" s="5">
        <v>1481.7272727272727</v>
      </c>
      <c r="C40" s="5">
        <v>8411.25</v>
      </c>
    </row>
    <row r="41" spans="1:3" x14ac:dyDescent="0.25">
      <c r="A41" s="6">
        <v>136</v>
      </c>
      <c r="B41" s="5">
        <v>693.11111111111109</v>
      </c>
      <c r="C41" s="5">
        <v>4260</v>
      </c>
    </row>
    <row r="42" spans="1:3" x14ac:dyDescent="0.25">
      <c r="A42" s="6">
        <v>137</v>
      </c>
      <c r="B42" s="5">
        <v>1344.375</v>
      </c>
      <c r="C42" s="5">
        <v>5794.25</v>
      </c>
    </row>
    <row r="43" spans="1:3" x14ac:dyDescent="0.25">
      <c r="A43" s="6">
        <v>138</v>
      </c>
      <c r="B43" s="5">
        <v>782.4</v>
      </c>
      <c r="C43" s="5">
        <v>5673.75</v>
      </c>
    </row>
    <row r="44" spans="1:3" x14ac:dyDescent="0.25">
      <c r="A44" s="6">
        <v>139</v>
      </c>
      <c r="B44" s="5">
        <v>1038.6666666666667</v>
      </c>
      <c r="C44" s="5">
        <v>5266.75</v>
      </c>
    </row>
    <row r="45" spans="1:3" x14ac:dyDescent="0.25">
      <c r="A45" s="6">
        <v>140</v>
      </c>
      <c r="B45" s="5">
        <v>1072.1818181818182</v>
      </c>
      <c r="C45" s="5">
        <v>6474.25</v>
      </c>
    </row>
    <row r="46" spans="1:3" x14ac:dyDescent="0.25">
      <c r="A46" s="6">
        <v>141</v>
      </c>
      <c r="B46" s="5">
        <v>1218</v>
      </c>
      <c r="C46" s="5">
        <v>5387.75</v>
      </c>
    </row>
    <row r="47" spans="1:3" x14ac:dyDescent="0.25">
      <c r="A47" s="6">
        <v>142</v>
      </c>
      <c r="B47" s="5">
        <v>1349.3333333333333</v>
      </c>
      <c r="C47" s="5">
        <v>8152.75</v>
      </c>
    </row>
    <row r="48" spans="1:3" x14ac:dyDescent="0.25">
      <c r="A48" s="6">
        <v>143</v>
      </c>
      <c r="B48" s="5">
        <v>1224.2857142857142</v>
      </c>
      <c r="C48" s="5">
        <v>4459.5</v>
      </c>
    </row>
    <row r="49" spans="1:3" x14ac:dyDescent="0.25">
      <c r="A49" s="6">
        <v>144</v>
      </c>
      <c r="B49" s="5">
        <v>1002.6666666666666</v>
      </c>
      <c r="C49" s="5">
        <v>5772.5</v>
      </c>
    </row>
    <row r="50" spans="1:3" x14ac:dyDescent="0.25">
      <c r="A50" s="6">
        <v>145</v>
      </c>
      <c r="B50" s="5">
        <v>690</v>
      </c>
      <c r="C50" s="5">
        <v>3814.5</v>
      </c>
    </row>
    <row r="51" spans="1:3" x14ac:dyDescent="0.25">
      <c r="A51" s="6">
        <v>146</v>
      </c>
      <c r="B51" s="5">
        <v>1134.6363636363637</v>
      </c>
      <c r="C51" s="5">
        <v>6654.5</v>
      </c>
    </row>
    <row r="52" spans="1:3" x14ac:dyDescent="0.25">
      <c r="A52" s="6">
        <v>147</v>
      </c>
      <c r="B52" s="5">
        <v>925.33333333333337</v>
      </c>
      <c r="C52" s="5">
        <v>6269.5</v>
      </c>
    </row>
    <row r="53" spans="1:3" x14ac:dyDescent="0.25">
      <c r="A53" s="6">
        <v>148</v>
      </c>
      <c r="B53" s="5">
        <v>843.9</v>
      </c>
      <c r="C53" s="5">
        <v>4737.5</v>
      </c>
    </row>
    <row r="54" spans="1:3" x14ac:dyDescent="0.25">
      <c r="A54" s="6">
        <v>150</v>
      </c>
      <c r="B54" s="5">
        <v>916.77777777777783</v>
      </c>
      <c r="C54" s="5">
        <v>4822.25</v>
      </c>
    </row>
    <row r="55" spans="1:3" x14ac:dyDescent="0.25">
      <c r="A55" s="6">
        <v>151</v>
      </c>
      <c r="B55" s="5">
        <v>870.9</v>
      </c>
      <c r="C55" s="5">
        <v>5060</v>
      </c>
    </row>
    <row r="56" spans="1:3" x14ac:dyDescent="0.25">
      <c r="A56" s="6">
        <v>152</v>
      </c>
      <c r="B56" s="5">
        <v>700.1</v>
      </c>
      <c r="C56" s="5">
        <v>4264.25</v>
      </c>
    </row>
    <row r="57" spans="1:3" x14ac:dyDescent="0.25">
      <c r="A57" s="6">
        <v>153</v>
      </c>
      <c r="B57" s="5">
        <v>1206.6363636363637</v>
      </c>
      <c r="C57" s="5">
        <v>7451.75</v>
      </c>
    </row>
    <row r="58" spans="1:3" x14ac:dyDescent="0.25">
      <c r="A58" s="6">
        <v>155</v>
      </c>
      <c r="B58" s="5">
        <v>1</v>
      </c>
      <c r="C58" s="5">
        <v>0.75</v>
      </c>
    </row>
    <row r="59" spans="1:3" x14ac:dyDescent="0.25">
      <c r="A59" s="6">
        <v>156</v>
      </c>
      <c r="B59" s="5">
        <v>718.8</v>
      </c>
      <c r="C59" s="5">
        <v>4471.75</v>
      </c>
    </row>
    <row r="60" spans="1:3" x14ac:dyDescent="0.25">
      <c r="A60" s="6">
        <v>157</v>
      </c>
      <c r="B60" s="5">
        <v>1278.090909090909</v>
      </c>
      <c r="C60" s="5">
        <v>7892</v>
      </c>
    </row>
    <row r="61" spans="1:3" x14ac:dyDescent="0.25">
      <c r="A61" s="6">
        <v>159</v>
      </c>
      <c r="B61" s="5">
        <v>507.125</v>
      </c>
      <c r="C61" s="5">
        <v>2413.5</v>
      </c>
    </row>
    <row r="62" spans="1:3" x14ac:dyDescent="0.25">
      <c r="A62" s="6">
        <v>160</v>
      </c>
      <c r="B62" s="5">
        <v>651.75</v>
      </c>
      <c r="C62" s="5">
        <v>5371</v>
      </c>
    </row>
    <row r="63" spans="1:3" x14ac:dyDescent="0.25">
      <c r="A63" s="6">
        <v>162</v>
      </c>
      <c r="B63" s="5">
        <v>698.6</v>
      </c>
      <c r="C63" s="5">
        <v>4372.25</v>
      </c>
    </row>
    <row r="64" spans="1:3" x14ac:dyDescent="0.25">
      <c r="A64" s="6">
        <v>163</v>
      </c>
      <c r="B64" s="5">
        <v>656.55555555555554</v>
      </c>
      <c r="C64" s="5">
        <v>4247</v>
      </c>
    </row>
    <row r="65" spans="1:3" x14ac:dyDescent="0.25">
      <c r="A65" s="6">
        <v>164</v>
      </c>
      <c r="B65" s="5">
        <v>797.2</v>
      </c>
      <c r="C65" s="5">
        <v>4576.5</v>
      </c>
    </row>
    <row r="66" spans="1:3" x14ac:dyDescent="0.25">
      <c r="A66" s="6">
        <v>166</v>
      </c>
      <c r="B66" s="5">
        <v>731.3</v>
      </c>
      <c r="C66" s="5">
        <v>4662.75</v>
      </c>
    </row>
    <row r="67" spans="1:3" x14ac:dyDescent="0.25">
      <c r="A67" s="6">
        <v>168</v>
      </c>
      <c r="B67" s="5">
        <v>16.285714285714285</v>
      </c>
      <c r="C67" s="5">
        <v>93.5</v>
      </c>
    </row>
    <row r="68" spans="1:3" x14ac:dyDescent="0.25">
      <c r="A68" s="6">
        <v>169</v>
      </c>
      <c r="B68" s="5">
        <v>390.63636363636363</v>
      </c>
      <c r="C68" s="5">
        <v>2697.5</v>
      </c>
    </row>
    <row r="69" spans="1:3" x14ac:dyDescent="0.25">
      <c r="A69" s="6">
        <v>170</v>
      </c>
      <c r="B69" s="5">
        <v>454.3</v>
      </c>
      <c r="C69" s="5">
        <v>2649.5</v>
      </c>
    </row>
    <row r="70" spans="1:3" x14ac:dyDescent="0.25">
      <c r="A70" s="6">
        <v>172</v>
      </c>
      <c r="B70" s="5">
        <v>621.79999999999995</v>
      </c>
      <c r="C70" s="5">
        <v>3414.75</v>
      </c>
    </row>
    <row r="71" spans="1:3" x14ac:dyDescent="0.25">
      <c r="A71" s="6">
        <v>174</v>
      </c>
      <c r="B71" s="5">
        <v>1878.5</v>
      </c>
      <c r="C71" s="5">
        <v>8971.75</v>
      </c>
    </row>
    <row r="72" spans="1:3" x14ac:dyDescent="0.25">
      <c r="A72" s="6">
        <v>175</v>
      </c>
      <c r="B72" s="5">
        <v>1768.9</v>
      </c>
      <c r="C72" s="5">
        <v>8905.5</v>
      </c>
    </row>
    <row r="73" spans="1:3" x14ac:dyDescent="0.25">
      <c r="A73" s="6">
        <v>176</v>
      </c>
      <c r="B73" s="5">
        <v>717.25</v>
      </c>
      <c r="C73" s="5">
        <v>3068</v>
      </c>
    </row>
    <row r="74" spans="1:3" x14ac:dyDescent="0.25">
      <c r="A74" s="6">
        <v>177</v>
      </c>
      <c r="B74" s="5">
        <v>1036.2</v>
      </c>
      <c r="C74" s="5">
        <v>5598.5</v>
      </c>
    </row>
    <row r="75" spans="1:3" x14ac:dyDescent="0.25">
      <c r="A75" s="6">
        <v>178</v>
      </c>
      <c r="B75" s="5">
        <v>589.27272727272725</v>
      </c>
      <c r="C75" s="5">
        <v>4277</v>
      </c>
    </row>
    <row r="76" spans="1:3" x14ac:dyDescent="0.25">
      <c r="A76" s="6">
        <v>179</v>
      </c>
      <c r="B76" s="5">
        <v>632.09090909090912</v>
      </c>
      <c r="C76" s="5">
        <v>4714.75</v>
      </c>
    </row>
    <row r="77" spans="1:3" x14ac:dyDescent="0.25">
      <c r="A77" s="6">
        <v>182</v>
      </c>
      <c r="B77" s="5">
        <v>348.54545454545456</v>
      </c>
      <c r="C77" s="5">
        <v>3133</v>
      </c>
    </row>
    <row r="78" spans="1:3" x14ac:dyDescent="0.25">
      <c r="A78" s="6">
        <v>183</v>
      </c>
      <c r="B78" s="5">
        <v>1027.5</v>
      </c>
      <c r="C78" s="5">
        <v>5244.75</v>
      </c>
    </row>
    <row r="79" spans="1:3" x14ac:dyDescent="0.25">
      <c r="A79" s="6">
        <v>184</v>
      </c>
      <c r="B79" s="5">
        <v>1259.4000000000001</v>
      </c>
      <c r="C79" s="5">
        <v>7102.5</v>
      </c>
    </row>
    <row r="80" spans="1:3" x14ac:dyDescent="0.25">
      <c r="A80" s="6">
        <v>186</v>
      </c>
      <c r="B80" s="5">
        <v>1703.909090909091</v>
      </c>
      <c r="C80" s="5">
        <v>9182.25</v>
      </c>
    </row>
    <row r="81" spans="1:3" x14ac:dyDescent="0.25">
      <c r="A81" s="6">
        <v>187</v>
      </c>
      <c r="B81" s="5">
        <v>536.5454545454545</v>
      </c>
      <c r="C81" s="5">
        <v>3761.5</v>
      </c>
    </row>
    <row r="82" spans="1:3" x14ac:dyDescent="0.25">
      <c r="A82" s="6">
        <v>189</v>
      </c>
      <c r="B82" s="5">
        <v>632.72727272727275</v>
      </c>
      <c r="C82" s="5">
        <v>4799</v>
      </c>
    </row>
    <row r="83" spans="1:3" x14ac:dyDescent="0.25">
      <c r="A83" s="6">
        <v>190</v>
      </c>
      <c r="B83" s="5">
        <v>1629.2727272727273</v>
      </c>
      <c r="C83" s="5">
        <v>9118.75</v>
      </c>
    </row>
    <row r="84" spans="1:3" x14ac:dyDescent="0.25">
      <c r="A84" s="6">
        <v>194</v>
      </c>
      <c r="B84" s="5">
        <v>332.25</v>
      </c>
      <c r="C84" s="5">
        <v>2434.75</v>
      </c>
    </row>
    <row r="85" spans="1:3" x14ac:dyDescent="0.25">
      <c r="A85" s="6">
        <v>195</v>
      </c>
      <c r="B85" s="5">
        <v>375.22222222222223</v>
      </c>
      <c r="C85" s="5">
        <v>2551.25</v>
      </c>
    </row>
    <row r="86" spans="1:3" x14ac:dyDescent="0.25">
      <c r="A86" s="6">
        <v>196</v>
      </c>
      <c r="B86" s="5">
        <v>745.25</v>
      </c>
      <c r="C86" s="5">
        <v>3339.25</v>
      </c>
    </row>
    <row r="87" spans="1:3" x14ac:dyDescent="0.25">
      <c r="A87" s="6">
        <v>197</v>
      </c>
      <c r="B87" s="5">
        <v>356.3</v>
      </c>
      <c r="C87" s="5">
        <v>2735.25</v>
      </c>
    </row>
    <row r="88" spans="1:3" x14ac:dyDescent="0.25">
      <c r="A88" s="6">
        <v>200</v>
      </c>
      <c r="B88" s="5">
        <v>1717</v>
      </c>
      <c r="C88" s="5">
        <v>12618.75</v>
      </c>
    </row>
    <row r="89" spans="1:3" x14ac:dyDescent="0.25">
      <c r="A89" s="6">
        <v>201</v>
      </c>
      <c r="B89" s="5">
        <v>1238.4444444444443</v>
      </c>
      <c r="C89" s="5">
        <v>6624.25</v>
      </c>
    </row>
    <row r="90" spans="1:3" x14ac:dyDescent="0.25">
      <c r="A90" s="6">
        <v>202</v>
      </c>
      <c r="B90" s="5">
        <v>1154.6363636363637</v>
      </c>
      <c r="C90" s="5">
        <v>9562</v>
      </c>
    </row>
    <row r="91" spans="1:3" x14ac:dyDescent="0.25">
      <c r="A91" s="6">
        <v>203</v>
      </c>
      <c r="B91" s="5">
        <v>864.1</v>
      </c>
      <c r="C91" s="5">
        <v>6531.5</v>
      </c>
    </row>
    <row r="92" spans="1:3" x14ac:dyDescent="0.25">
      <c r="A92" s="6">
        <v>205</v>
      </c>
      <c r="B92" s="5">
        <v>137</v>
      </c>
      <c r="C92" s="5">
        <v>817.5</v>
      </c>
    </row>
    <row r="93" spans="1:3" x14ac:dyDescent="0.25">
      <c r="A93" s="6">
        <v>208</v>
      </c>
      <c r="B93" s="5">
        <v>670.4</v>
      </c>
      <c r="C93" s="5">
        <v>4750.25</v>
      </c>
    </row>
    <row r="94" spans="1:3" x14ac:dyDescent="0.25">
      <c r="A94" s="6">
        <v>210</v>
      </c>
      <c r="B94" s="5">
        <v>853.55555555555554</v>
      </c>
      <c r="C94" s="5">
        <v>4914.75</v>
      </c>
    </row>
    <row r="95" spans="1:3" x14ac:dyDescent="0.25">
      <c r="A95" s="6">
        <v>211</v>
      </c>
      <c r="B95" s="5">
        <v>1077.5</v>
      </c>
      <c r="C95" s="5">
        <v>6976</v>
      </c>
    </row>
    <row r="96" spans="1:3" x14ac:dyDescent="0.25">
      <c r="A96" s="6">
        <v>215</v>
      </c>
      <c r="B96" s="5">
        <v>1283.0999999999999</v>
      </c>
      <c r="C96" s="5">
        <v>7688.25</v>
      </c>
    </row>
    <row r="97" spans="1:3" x14ac:dyDescent="0.25">
      <c r="A97" s="6">
        <v>218</v>
      </c>
      <c r="B97" s="5">
        <v>737.9</v>
      </c>
      <c r="C97" s="5">
        <v>5661</v>
      </c>
    </row>
    <row r="98" spans="1:3" x14ac:dyDescent="0.25">
      <c r="A98" s="6">
        <v>220</v>
      </c>
      <c r="B98" s="5">
        <v>1643.6363636363637</v>
      </c>
      <c r="C98" s="5">
        <v>11162.5</v>
      </c>
    </row>
    <row r="99" spans="1:3" x14ac:dyDescent="0.25">
      <c r="A99" s="6">
        <v>221</v>
      </c>
      <c r="B99" s="5">
        <v>1322.2222222222222</v>
      </c>
      <c r="C99" s="5">
        <v>6282.25</v>
      </c>
    </row>
    <row r="100" spans="1:3" x14ac:dyDescent="0.25">
      <c r="A100" s="6">
        <v>222</v>
      </c>
      <c r="B100" s="5">
        <v>1192.090909090909</v>
      </c>
      <c r="C100" s="5">
        <v>9421.75</v>
      </c>
    </row>
    <row r="101" spans="1:3" x14ac:dyDescent="0.25">
      <c r="A101" s="6">
        <v>223</v>
      </c>
      <c r="B101" s="5">
        <v>2169.9</v>
      </c>
      <c r="C101" s="5">
        <v>12955</v>
      </c>
    </row>
    <row r="102" spans="1:3" x14ac:dyDescent="0.25">
      <c r="A102" s="6">
        <v>224</v>
      </c>
      <c r="B102" s="5">
        <v>1048</v>
      </c>
      <c r="C102" s="5">
        <v>5900.5</v>
      </c>
    </row>
    <row r="103" spans="1:3" x14ac:dyDescent="0.25">
      <c r="A103" s="6">
        <v>225</v>
      </c>
      <c r="B103" s="5">
        <v>529.77777777777783</v>
      </c>
      <c r="C103" s="5">
        <v>4620.5</v>
      </c>
    </row>
    <row r="104" spans="1:3" x14ac:dyDescent="0.25">
      <c r="A104" s="6">
        <v>226</v>
      </c>
      <c r="B104" s="5">
        <v>757.3</v>
      </c>
      <c r="C104" s="5">
        <v>5080.25</v>
      </c>
    </row>
    <row r="105" spans="1:3" x14ac:dyDescent="0.25">
      <c r="A105" s="6">
        <v>228</v>
      </c>
      <c r="B105" s="5">
        <v>1197.0999999999999</v>
      </c>
      <c r="C105" s="5">
        <v>9066.5</v>
      </c>
    </row>
    <row r="106" spans="1:3" x14ac:dyDescent="0.25">
      <c r="A106" s="6">
        <v>229</v>
      </c>
      <c r="B106" s="5">
        <v>1291.75</v>
      </c>
      <c r="C106" s="5">
        <v>7027</v>
      </c>
    </row>
    <row r="107" spans="1:3" x14ac:dyDescent="0.25">
      <c r="A107" s="6">
        <v>231</v>
      </c>
      <c r="B107" s="5">
        <v>591.66666666666663</v>
      </c>
      <c r="C107" s="5">
        <v>4051.25</v>
      </c>
    </row>
    <row r="108" spans="1:3" x14ac:dyDescent="0.25">
      <c r="A108" s="6">
        <v>232</v>
      </c>
      <c r="B108" s="5">
        <v>1620.6</v>
      </c>
      <c r="C108" s="5">
        <v>12392.5</v>
      </c>
    </row>
    <row r="109" spans="1:3" x14ac:dyDescent="0.25">
      <c r="A109" s="6">
        <v>233</v>
      </c>
      <c r="B109" s="5">
        <v>1019.7</v>
      </c>
      <c r="C109" s="5">
        <v>6186.75</v>
      </c>
    </row>
    <row r="110" spans="1:3" x14ac:dyDescent="0.25">
      <c r="A110" s="6">
        <v>234</v>
      </c>
      <c r="B110" s="5">
        <v>1424.375</v>
      </c>
      <c r="C110" s="5">
        <v>6206.5</v>
      </c>
    </row>
    <row r="111" spans="1:3" x14ac:dyDescent="0.25">
      <c r="A111" s="6">
        <v>235</v>
      </c>
      <c r="B111" s="5">
        <v>1987.1</v>
      </c>
      <c r="C111" s="5">
        <v>10994</v>
      </c>
    </row>
    <row r="112" spans="1:3" x14ac:dyDescent="0.25">
      <c r="A112" s="6">
        <v>236</v>
      </c>
      <c r="B112" s="5">
        <v>618.625</v>
      </c>
      <c r="C112" s="5">
        <v>3341</v>
      </c>
    </row>
    <row r="113" spans="1:3" x14ac:dyDescent="0.25">
      <c r="A113" s="6">
        <v>237</v>
      </c>
      <c r="B113" s="5">
        <v>1445.7</v>
      </c>
      <c r="C113" s="5">
        <v>8104</v>
      </c>
    </row>
    <row r="114" spans="1:3" x14ac:dyDescent="0.25">
      <c r="A114" s="6">
        <v>238</v>
      </c>
      <c r="B114" s="5">
        <v>548.66666666666663</v>
      </c>
      <c r="C114" s="5">
        <v>4583</v>
      </c>
    </row>
    <row r="115" spans="1:3" x14ac:dyDescent="0.25">
      <c r="A115" s="6">
        <v>240</v>
      </c>
      <c r="B115" s="5">
        <v>2414.125</v>
      </c>
      <c r="C115" s="5">
        <v>10739</v>
      </c>
    </row>
    <row r="116" spans="1:3" x14ac:dyDescent="0.25">
      <c r="A116" s="6">
        <v>241</v>
      </c>
      <c r="B116" s="5">
        <v>1011.2</v>
      </c>
      <c r="C116" s="5">
        <v>5849.75</v>
      </c>
    </row>
    <row r="117" spans="1:3" x14ac:dyDescent="0.25">
      <c r="A117" s="6">
        <v>242</v>
      </c>
      <c r="B117" s="5">
        <v>436.75</v>
      </c>
      <c r="C117" s="5">
        <v>2754.25</v>
      </c>
    </row>
    <row r="118" spans="1:3" x14ac:dyDescent="0.25">
      <c r="A118" s="6">
        <v>244</v>
      </c>
      <c r="B118" s="5">
        <v>856.77777777777783</v>
      </c>
      <c r="C118" s="5">
        <v>6254.25</v>
      </c>
    </row>
    <row r="119" spans="1:3" x14ac:dyDescent="0.25">
      <c r="A119" s="6">
        <v>245</v>
      </c>
      <c r="B119" s="5">
        <v>610.81818181818187</v>
      </c>
      <c r="C119" s="5">
        <v>4331.25</v>
      </c>
    </row>
    <row r="120" spans="1:3" x14ac:dyDescent="0.25">
      <c r="A120" s="6">
        <v>246</v>
      </c>
      <c r="B120" s="5">
        <v>1186.5</v>
      </c>
      <c r="C120" s="5">
        <v>7832</v>
      </c>
    </row>
    <row r="121" spans="1:3" x14ac:dyDescent="0.25">
      <c r="A121" s="6">
        <v>247</v>
      </c>
      <c r="B121" s="5">
        <v>904</v>
      </c>
      <c r="C121" s="5">
        <v>5025.25</v>
      </c>
    </row>
    <row r="122" spans="1:3" x14ac:dyDescent="0.25">
      <c r="A122" s="6">
        <v>248</v>
      </c>
      <c r="B122" s="5">
        <v>1006.9</v>
      </c>
      <c r="C122" s="5">
        <v>6889.25</v>
      </c>
    </row>
    <row r="123" spans="1:3" x14ac:dyDescent="0.25">
      <c r="A123" s="6">
        <v>249</v>
      </c>
      <c r="B123" s="5">
        <v>2498.2222222222222</v>
      </c>
      <c r="C123" s="5">
        <v>14777.75</v>
      </c>
    </row>
    <row r="124" spans="1:3" x14ac:dyDescent="0.25">
      <c r="A124" s="6">
        <v>250</v>
      </c>
      <c r="B124" s="5">
        <v>1206.6666666666667</v>
      </c>
      <c r="C124" s="5">
        <v>6832.5</v>
      </c>
    </row>
    <row r="125" spans="1:3" x14ac:dyDescent="0.25">
      <c r="A125" s="6">
        <v>251</v>
      </c>
      <c r="B125" s="5">
        <v>817.625</v>
      </c>
      <c r="C125" s="5">
        <v>3761</v>
      </c>
    </row>
    <row r="126" spans="1:3" x14ac:dyDescent="0.25">
      <c r="A126" s="6">
        <v>252</v>
      </c>
      <c r="B126" s="5">
        <v>1201.0999999999999</v>
      </c>
      <c r="C126" s="5">
        <v>5947.75</v>
      </c>
    </row>
    <row r="127" spans="1:3" x14ac:dyDescent="0.25">
      <c r="A127" s="6">
        <v>253</v>
      </c>
      <c r="B127" s="5">
        <v>1140.3333333333333</v>
      </c>
      <c r="C127" s="5">
        <v>4913.75</v>
      </c>
    </row>
    <row r="128" spans="1:3" x14ac:dyDescent="0.25">
      <c r="A128" s="6">
        <v>254</v>
      </c>
      <c r="B128" s="5">
        <v>851.6</v>
      </c>
      <c r="C128" s="5">
        <v>5749</v>
      </c>
    </row>
    <row r="129" spans="1:3" x14ac:dyDescent="0.25">
      <c r="A129" s="6">
        <v>256</v>
      </c>
      <c r="B129" s="5">
        <v>1264.5</v>
      </c>
      <c r="C129" s="5">
        <v>4932</v>
      </c>
    </row>
    <row r="130" spans="1:3" x14ac:dyDescent="0.25">
      <c r="A130" s="6">
        <v>257</v>
      </c>
      <c r="B130" s="5">
        <v>934.4</v>
      </c>
      <c r="C130" s="5">
        <v>4665.25</v>
      </c>
    </row>
    <row r="131" spans="1:3" x14ac:dyDescent="0.25">
      <c r="A131" s="6">
        <v>258</v>
      </c>
      <c r="B131" s="5">
        <v>1059.5999999999999</v>
      </c>
      <c r="C131" s="5">
        <v>7063.75</v>
      </c>
    </row>
    <row r="132" spans="1:3" x14ac:dyDescent="0.25">
      <c r="A132" s="6">
        <v>259</v>
      </c>
      <c r="B132" s="5">
        <v>1300.3</v>
      </c>
      <c r="C132" s="5">
        <v>6677</v>
      </c>
    </row>
    <row r="133" spans="1:3" x14ac:dyDescent="0.25">
      <c r="A133" s="6">
        <v>260</v>
      </c>
      <c r="B133" s="5">
        <v>1593.625</v>
      </c>
      <c r="C133" s="5">
        <v>8724.5</v>
      </c>
    </row>
    <row r="134" spans="1:3" x14ac:dyDescent="0.25">
      <c r="A134" s="6">
        <v>261</v>
      </c>
      <c r="B134" s="5">
        <v>1240.5</v>
      </c>
      <c r="C134" s="5">
        <v>6277.25</v>
      </c>
    </row>
    <row r="135" spans="1:3" x14ac:dyDescent="0.25">
      <c r="A135" s="6">
        <v>262</v>
      </c>
      <c r="B135" s="5">
        <v>638.22222222222217</v>
      </c>
      <c r="C135" s="5">
        <v>4160</v>
      </c>
    </row>
    <row r="136" spans="1:3" x14ac:dyDescent="0.25">
      <c r="A136" s="6">
        <v>263</v>
      </c>
      <c r="B136" s="5">
        <v>624.22222222222217</v>
      </c>
      <c r="C136" s="5">
        <v>4263</v>
      </c>
    </row>
    <row r="137" spans="1:3" x14ac:dyDescent="0.25">
      <c r="A137" s="6">
        <v>264</v>
      </c>
      <c r="B137" s="5">
        <v>634.33333333333337</v>
      </c>
      <c r="C137" s="5">
        <v>3831</v>
      </c>
    </row>
    <row r="138" spans="1:3" x14ac:dyDescent="0.25">
      <c r="A138" s="6">
        <v>265</v>
      </c>
      <c r="B138" s="5">
        <v>1084</v>
      </c>
      <c r="C138" s="5">
        <v>6496.75</v>
      </c>
    </row>
    <row r="139" spans="1:3" x14ac:dyDescent="0.25">
      <c r="A139" s="6">
        <v>266</v>
      </c>
      <c r="B139" s="5">
        <v>920.3</v>
      </c>
      <c r="C139" s="5">
        <v>4437.25</v>
      </c>
    </row>
    <row r="140" spans="1:3" x14ac:dyDescent="0.25">
      <c r="A140" s="6">
        <v>267</v>
      </c>
      <c r="B140" s="5">
        <v>1372.3333333333333</v>
      </c>
      <c r="C140" s="5">
        <v>10061.5</v>
      </c>
    </row>
    <row r="141" spans="1:3" x14ac:dyDescent="0.25">
      <c r="A141" s="6">
        <v>268</v>
      </c>
      <c r="B141" s="5">
        <v>1375.6666666666667</v>
      </c>
      <c r="C141" s="5">
        <v>6546.5</v>
      </c>
    </row>
    <row r="142" spans="1:3" x14ac:dyDescent="0.25">
      <c r="A142" s="6">
        <v>269</v>
      </c>
      <c r="B142" s="5">
        <v>1020.375</v>
      </c>
      <c r="C142" s="5">
        <v>4727.75</v>
      </c>
    </row>
    <row r="143" spans="1:3" x14ac:dyDescent="0.25">
      <c r="A143" s="6">
        <v>270</v>
      </c>
      <c r="B143" s="5">
        <v>869.77777777777783</v>
      </c>
      <c r="C143" s="5">
        <v>5261</v>
      </c>
    </row>
    <row r="144" spans="1:3" x14ac:dyDescent="0.25">
      <c r="A144" s="6">
        <v>271</v>
      </c>
      <c r="B144" s="5">
        <v>685.08333333333337</v>
      </c>
      <c r="C144" s="5">
        <v>6099.25</v>
      </c>
    </row>
    <row r="145" spans="1:3" x14ac:dyDescent="0.25">
      <c r="A145" s="6">
        <v>272</v>
      </c>
      <c r="B145" s="5">
        <v>1304.25</v>
      </c>
      <c r="C145" s="5">
        <v>6526.5</v>
      </c>
    </row>
    <row r="146" spans="1:3" x14ac:dyDescent="0.25">
      <c r="A146" s="6">
        <v>273</v>
      </c>
      <c r="B146" s="5">
        <v>735.27272727272725</v>
      </c>
      <c r="C146" s="5">
        <v>5916</v>
      </c>
    </row>
    <row r="147" spans="1:3" x14ac:dyDescent="0.25">
      <c r="A147" s="6">
        <v>274</v>
      </c>
      <c r="B147" s="5">
        <v>1584.2222222222222</v>
      </c>
      <c r="C147" s="5">
        <v>9282.25</v>
      </c>
    </row>
    <row r="148" spans="1:3" x14ac:dyDescent="0.25">
      <c r="A148" s="6">
        <v>275</v>
      </c>
      <c r="B148" s="5">
        <v>1791.4444444444443</v>
      </c>
      <c r="C148" s="5">
        <v>10317</v>
      </c>
    </row>
    <row r="149" spans="1:3" x14ac:dyDescent="0.25">
      <c r="A149" s="6">
        <v>276</v>
      </c>
      <c r="B149" s="5">
        <v>949</v>
      </c>
      <c r="C149" s="5">
        <v>6339</v>
      </c>
    </row>
    <row r="150" spans="1:3" x14ac:dyDescent="0.25">
      <c r="A150" s="6">
        <v>277</v>
      </c>
      <c r="B150" s="5">
        <v>1604.5</v>
      </c>
      <c r="C150" s="5">
        <v>7826.75</v>
      </c>
    </row>
    <row r="151" spans="1:3" x14ac:dyDescent="0.25">
      <c r="A151" s="6">
        <v>281</v>
      </c>
      <c r="B151" s="5">
        <v>1282.625</v>
      </c>
      <c r="C151" s="5">
        <v>7609.25</v>
      </c>
    </row>
    <row r="152" spans="1:3" x14ac:dyDescent="0.25">
      <c r="A152" s="6">
        <v>284</v>
      </c>
      <c r="B152" s="5">
        <v>2123.6</v>
      </c>
      <c r="C152" s="5">
        <v>9950.25</v>
      </c>
    </row>
    <row r="153" spans="1:3" x14ac:dyDescent="0.25">
      <c r="A153" s="6">
        <v>285</v>
      </c>
      <c r="B153" s="5">
        <v>2683</v>
      </c>
      <c r="C153" s="5">
        <v>17360</v>
      </c>
    </row>
    <row r="154" spans="1:3" x14ac:dyDescent="0.25">
      <c r="A154" s="6">
        <v>286</v>
      </c>
      <c r="B154" s="5">
        <v>568.4</v>
      </c>
      <c r="C154" s="5">
        <v>3485.5</v>
      </c>
    </row>
    <row r="155" spans="1:3" x14ac:dyDescent="0.25">
      <c r="A155" s="6">
        <v>287</v>
      </c>
      <c r="B155" s="5">
        <v>1089.8</v>
      </c>
      <c r="C155" s="5">
        <v>6835.5</v>
      </c>
    </row>
    <row r="156" spans="1:3" x14ac:dyDescent="0.25">
      <c r="A156" s="6">
        <v>288</v>
      </c>
      <c r="B156" s="5">
        <v>837.875</v>
      </c>
      <c r="C156" s="5">
        <v>4699</v>
      </c>
    </row>
    <row r="157" spans="1:3" x14ac:dyDescent="0.25">
      <c r="A157" s="6">
        <v>291</v>
      </c>
      <c r="B157" s="5">
        <v>669.22222222222217</v>
      </c>
      <c r="C157" s="5">
        <v>4169</v>
      </c>
    </row>
    <row r="158" spans="1:3" x14ac:dyDescent="0.25">
      <c r="A158" s="6">
        <v>295</v>
      </c>
      <c r="B158" s="5">
        <v>1618.1111111111111</v>
      </c>
      <c r="C158" s="5">
        <v>9926</v>
      </c>
    </row>
    <row r="159" spans="1:3" x14ac:dyDescent="0.25">
      <c r="A159" s="6">
        <v>297</v>
      </c>
      <c r="B159" s="5">
        <v>900.55555555555554</v>
      </c>
      <c r="C159" s="5">
        <v>5842.5</v>
      </c>
    </row>
    <row r="160" spans="1:3" x14ac:dyDescent="0.25">
      <c r="A160" s="6">
        <v>299</v>
      </c>
      <c r="B160" s="5">
        <v>474.3</v>
      </c>
      <c r="C160" s="5">
        <v>3993.25</v>
      </c>
    </row>
    <row r="161" spans="1:3" x14ac:dyDescent="0.25">
      <c r="A161" s="6">
        <v>301</v>
      </c>
      <c r="B161" s="5">
        <v>1728.9166666666667</v>
      </c>
      <c r="C161" s="5">
        <v>14124.25</v>
      </c>
    </row>
    <row r="162" spans="1:3" x14ac:dyDescent="0.25">
      <c r="A162" s="6">
        <v>304</v>
      </c>
      <c r="B162" s="5">
        <v>991.5</v>
      </c>
      <c r="C162" s="5">
        <v>7129.25</v>
      </c>
    </row>
    <row r="163" spans="1:3" x14ac:dyDescent="0.25">
      <c r="A163" s="6">
        <v>306</v>
      </c>
      <c r="B163" s="5">
        <v>1404.6666666666667</v>
      </c>
      <c r="C163" s="5">
        <v>7855.75</v>
      </c>
    </row>
    <row r="164" spans="1:3" x14ac:dyDescent="0.25">
      <c r="A164" s="6">
        <v>310</v>
      </c>
      <c r="B164" s="5">
        <v>1403.3</v>
      </c>
      <c r="C164" s="5">
        <v>9581</v>
      </c>
    </row>
    <row r="165" spans="1:3" x14ac:dyDescent="0.25">
      <c r="A165" s="6">
        <v>312</v>
      </c>
      <c r="B165" s="5">
        <v>1055.7777777777778</v>
      </c>
      <c r="C165" s="5">
        <v>5040.5</v>
      </c>
    </row>
    <row r="166" spans="1:3" x14ac:dyDescent="0.25">
      <c r="A166" s="6">
        <v>314</v>
      </c>
      <c r="B166" s="5">
        <v>762.18181818181813</v>
      </c>
      <c r="C166" s="5">
        <v>6345.75</v>
      </c>
    </row>
    <row r="167" spans="1:3" x14ac:dyDescent="0.25">
      <c r="A167" s="6">
        <v>316</v>
      </c>
      <c r="B167" s="5">
        <v>1688.7777777777778</v>
      </c>
      <c r="C167" s="5">
        <v>7240.25</v>
      </c>
    </row>
    <row r="168" spans="1:3" x14ac:dyDescent="0.25">
      <c r="A168" s="6">
        <v>317</v>
      </c>
      <c r="B168" s="5">
        <v>1497</v>
      </c>
      <c r="C168" s="5">
        <v>7744</v>
      </c>
    </row>
    <row r="169" spans="1:3" x14ac:dyDescent="0.25">
      <c r="A169" s="6">
        <v>318</v>
      </c>
      <c r="B169" s="5">
        <v>802.90909090909088</v>
      </c>
      <c r="C169" s="5">
        <v>6793</v>
      </c>
    </row>
    <row r="170" spans="1:3" x14ac:dyDescent="0.25">
      <c r="A170" s="6">
        <v>319</v>
      </c>
      <c r="B170" s="5">
        <v>830.88888888888891</v>
      </c>
      <c r="C170" s="5">
        <v>4233.75</v>
      </c>
    </row>
    <row r="171" spans="1:3" x14ac:dyDescent="0.25">
      <c r="A171" s="6">
        <v>320</v>
      </c>
      <c r="B171" s="5">
        <v>690.66666666666663</v>
      </c>
      <c r="C171" s="5">
        <v>5661.5</v>
      </c>
    </row>
    <row r="172" spans="1:3" x14ac:dyDescent="0.25">
      <c r="A172" s="6">
        <v>321</v>
      </c>
      <c r="B172" s="5">
        <v>1196.7777777777778</v>
      </c>
      <c r="C172" s="5">
        <v>7239.25</v>
      </c>
    </row>
    <row r="173" spans="1:3" x14ac:dyDescent="0.25">
      <c r="A173" s="6">
        <v>322</v>
      </c>
      <c r="B173" s="5">
        <v>672.75</v>
      </c>
      <c r="C173" s="5">
        <v>2983.75</v>
      </c>
    </row>
    <row r="174" spans="1:3" x14ac:dyDescent="0.25">
      <c r="A174" s="6">
        <v>323</v>
      </c>
      <c r="B174" s="5">
        <v>1632.1111111111111</v>
      </c>
      <c r="C174" s="5">
        <v>7304.25</v>
      </c>
    </row>
    <row r="175" spans="1:3" x14ac:dyDescent="0.25">
      <c r="A175" s="6">
        <v>324</v>
      </c>
      <c r="B175" s="5">
        <v>824</v>
      </c>
      <c r="C175" s="5">
        <v>5514.25</v>
      </c>
    </row>
    <row r="176" spans="1:3" x14ac:dyDescent="0.25">
      <c r="A176" s="6">
        <v>327</v>
      </c>
      <c r="B176" s="5">
        <v>555.79999999999995</v>
      </c>
      <c r="C176" s="5">
        <v>4144.25</v>
      </c>
    </row>
    <row r="177" spans="1:3" x14ac:dyDescent="0.25">
      <c r="A177" s="6">
        <v>332</v>
      </c>
      <c r="B177" s="5">
        <v>522.4</v>
      </c>
      <c r="C177" s="5">
        <v>4229.25</v>
      </c>
    </row>
    <row r="178" spans="1:3" x14ac:dyDescent="0.25">
      <c r="A178" s="6">
        <v>333</v>
      </c>
      <c r="B178" s="5">
        <v>611.27272727272725</v>
      </c>
      <c r="C178" s="5">
        <v>4524.25</v>
      </c>
    </row>
    <row r="179" spans="1:3" x14ac:dyDescent="0.25">
      <c r="A179" s="6">
        <v>335</v>
      </c>
      <c r="B179" s="5">
        <v>772.6</v>
      </c>
      <c r="C179" s="5">
        <v>5275.75</v>
      </c>
    </row>
    <row r="180" spans="1:3" x14ac:dyDescent="0.25">
      <c r="A180" s="6">
        <v>338</v>
      </c>
      <c r="B180" s="5">
        <v>1.3333333333333333</v>
      </c>
      <c r="C180" s="5">
        <v>1</v>
      </c>
    </row>
    <row r="181" spans="1:3" x14ac:dyDescent="0.25">
      <c r="A181" s="6">
        <v>339</v>
      </c>
      <c r="B181" s="5">
        <v>1766.4444444444443</v>
      </c>
      <c r="C181" s="5">
        <v>7858.25</v>
      </c>
    </row>
    <row r="182" spans="1:3" x14ac:dyDescent="0.25">
      <c r="A182" s="6">
        <v>340</v>
      </c>
      <c r="B182" s="5">
        <v>489.72727272727275</v>
      </c>
      <c r="C182" s="5">
        <v>2857</v>
      </c>
    </row>
    <row r="183" spans="1:3" x14ac:dyDescent="0.25">
      <c r="A183" s="6">
        <v>341</v>
      </c>
      <c r="B183" s="5">
        <v>711.9</v>
      </c>
      <c r="C183" s="5">
        <v>4373</v>
      </c>
    </row>
    <row r="184" spans="1:3" x14ac:dyDescent="0.25">
      <c r="A184" s="6">
        <v>342</v>
      </c>
      <c r="B184" s="5">
        <v>1203.2222222222222</v>
      </c>
      <c r="C184" s="5">
        <v>5065.75</v>
      </c>
    </row>
    <row r="185" spans="1:3" x14ac:dyDescent="0.25">
      <c r="A185" s="6">
        <v>345</v>
      </c>
      <c r="B185" s="5">
        <v>1213.125</v>
      </c>
      <c r="C185" s="5">
        <v>5825.25</v>
      </c>
    </row>
    <row r="186" spans="1:3" x14ac:dyDescent="0.25">
      <c r="A186" s="6">
        <v>346</v>
      </c>
      <c r="B186" s="5">
        <v>738.66666666666663</v>
      </c>
      <c r="C186" s="5">
        <v>4576</v>
      </c>
    </row>
    <row r="187" spans="1:3" x14ac:dyDescent="0.25">
      <c r="A187" s="6">
        <v>348</v>
      </c>
      <c r="B187" s="5">
        <v>1324.8181818181818</v>
      </c>
      <c r="C187" s="5">
        <v>7748.75</v>
      </c>
    </row>
    <row r="188" spans="1:3" x14ac:dyDescent="0.25">
      <c r="A188" s="6">
        <v>352</v>
      </c>
      <c r="B188" s="5">
        <v>543.63636363636363</v>
      </c>
      <c r="C188" s="5">
        <v>3530.75</v>
      </c>
    </row>
    <row r="189" spans="1:3" x14ac:dyDescent="0.25">
      <c r="A189" s="6">
        <v>353</v>
      </c>
      <c r="B189" s="5">
        <v>847.25</v>
      </c>
      <c r="C189" s="5">
        <v>5193</v>
      </c>
    </row>
    <row r="190" spans="1:3" x14ac:dyDescent="0.25">
      <c r="A190" s="6">
        <v>354</v>
      </c>
      <c r="B190" s="5">
        <v>472.5</v>
      </c>
      <c r="C190" s="5">
        <v>3281.75</v>
      </c>
    </row>
    <row r="191" spans="1:3" x14ac:dyDescent="0.25">
      <c r="A191" s="6">
        <v>355</v>
      </c>
      <c r="B191" s="5">
        <v>569.1</v>
      </c>
      <c r="C191" s="5">
        <v>4065.25</v>
      </c>
    </row>
    <row r="192" spans="1:3" x14ac:dyDescent="0.25">
      <c r="A192" s="6">
        <v>358</v>
      </c>
      <c r="B192" s="5">
        <v>689.63636363636363</v>
      </c>
      <c r="C192" s="5">
        <v>4918.5</v>
      </c>
    </row>
    <row r="193" spans="1:3" x14ac:dyDescent="0.25">
      <c r="A193" s="6">
        <v>359</v>
      </c>
      <c r="B193" s="5">
        <v>428.5</v>
      </c>
      <c r="C193" s="5">
        <v>2481.75</v>
      </c>
    </row>
    <row r="194" spans="1:3" x14ac:dyDescent="0.25">
      <c r="A194" s="6">
        <v>360</v>
      </c>
      <c r="B194" s="5">
        <v>1428.4</v>
      </c>
      <c r="C194" s="5">
        <v>7309.25</v>
      </c>
    </row>
    <row r="195" spans="1:3" x14ac:dyDescent="0.25">
      <c r="A195" s="6">
        <v>361</v>
      </c>
      <c r="B195" s="5">
        <v>728.33333333333337</v>
      </c>
      <c r="C195" s="5">
        <v>3970</v>
      </c>
    </row>
    <row r="196" spans="1:3" x14ac:dyDescent="0.25">
      <c r="A196" s="6">
        <v>365</v>
      </c>
      <c r="B196" s="5">
        <v>677</v>
      </c>
      <c r="C196" s="5">
        <v>4086.5</v>
      </c>
    </row>
    <row r="197" spans="1:3" x14ac:dyDescent="0.25">
      <c r="A197" s="6">
        <v>367</v>
      </c>
      <c r="B197" s="5">
        <v>410.8</v>
      </c>
      <c r="C197" s="5">
        <v>2410.25</v>
      </c>
    </row>
    <row r="198" spans="1:3" x14ac:dyDescent="0.25">
      <c r="A198" s="6">
        <v>368</v>
      </c>
      <c r="B198" s="5">
        <v>781.7</v>
      </c>
      <c r="C198" s="5">
        <v>4147.75</v>
      </c>
    </row>
    <row r="199" spans="1:3" x14ac:dyDescent="0.25">
      <c r="A199" s="6">
        <v>370</v>
      </c>
      <c r="B199" s="5">
        <v>687.90909090909088</v>
      </c>
      <c r="C199" s="5">
        <v>4463</v>
      </c>
    </row>
    <row r="200" spans="1:3" x14ac:dyDescent="0.25">
      <c r="A200" s="6">
        <v>372</v>
      </c>
      <c r="B200" s="5">
        <v>586.70000000000005</v>
      </c>
      <c r="C200" s="5">
        <v>3618</v>
      </c>
    </row>
    <row r="201" spans="1:3" x14ac:dyDescent="0.25">
      <c r="A201" s="6">
        <v>383</v>
      </c>
      <c r="B201" s="5">
        <v>1043</v>
      </c>
      <c r="C201" s="5">
        <v>5106.75</v>
      </c>
    </row>
    <row r="202" spans="1:3" x14ac:dyDescent="0.25">
      <c r="A202" s="6">
        <v>387</v>
      </c>
      <c r="B202" s="5">
        <v>790.27272727272725</v>
      </c>
      <c r="C202" s="5">
        <v>5103.5</v>
      </c>
    </row>
    <row r="203" spans="1:3" x14ac:dyDescent="0.25">
      <c r="A203" s="6">
        <v>396</v>
      </c>
      <c r="B203" s="5">
        <v>1234.625</v>
      </c>
      <c r="C203" s="5">
        <v>5400.5</v>
      </c>
    </row>
    <row r="204" spans="1:3" x14ac:dyDescent="0.25">
      <c r="A204" s="6">
        <v>421</v>
      </c>
      <c r="B204" s="5">
        <v>1135.7777777777778</v>
      </c>
      <c r="C204" s="5">
        <v>6042</v>
      </c>
    </row>
    <row r="205" spans="1:3" x14ac:dyDescent="0.25">
      <c r="A205" s="6">
        <v>426</v>
      </c>
      <c r="B205" s="5">
        <v>442.7</v>
      </c>
      <c r="C205" s="5">
        <v>2937</v>
      </c>
    </row>
    <row r="206" spans="1:3" x14ac:dyDescent="0.25">
      <c r="A206" s="6">
        <v>427</v>
      </c>
      <c r="B206" s="5">
        <v>856.1</v>
      </c>
      <c r="C206" s="5">
        <v>6662</v>
      </c>
    </row>
    <row r="207" spans="1:3" x14ac:dyDescent="0.25">
      <c r="A207" s="6">
        <v>442</v>
      </c>
      <c r="B207" s="5">
        <v>1133.7777777777778</v>
      </c>
      <c r="C207" s="5">
        <v>6452</v>
      </c>
    </row>
    <row r="208" spans="1:3" x14ac:dyDescent="0.25">
      <c r="A208" s="6">
        <v>467</v>
      </c>
      <c r="B208" s="5">
        <v>940.88888888888891</v>
      </c>
      <c r="C208" s="5">
        <v>4531.5</v>
      </c>
    </row>
    <row r="209" spans="1:3" x14ac:dyDescent="0.25">
      <c r="A209" s="6">
        <v>480</v>
      </c>
      <c r="B209" s="5">
        <v>1092.5555555555557</v>
      </c>
      <c r="C209" s="5">
        <v>5228.75</v>
      </c>
    </row>
    <row r="210" spans="1:3" x14ac:dyDescent="0.25">
      <c r="A210" s="6">
        <v>484</v>
      </c>
      <c r="B210" s="5">
        <v>1012.1111111111111</v>
      </c>
      <c r="C210" s="5">
        <v>4686</v>
      </c>
    </row>
    <row r="211" spans="1:3" x14ac:dyDescent="0.25">
      <c r="A211" s="6">
        <v>486</v>
      </c>
      <c r="B211" s="5">
        <v>597.69230769230774</v>
      </c>
      <c r="C211" s="5">
        <v>4299.75</v>
      </c>
    </row>
    <row r="212" spans="1:3" x14ac:dyDescent="0.25">
      <c r="A212" s="6">
        <v>508</v>
      </c>
      <c r="B212" s="5">
        <v>1297.3</v>
      </c>
      <c r="C212" s="5">
        <v>7408.25</v>
      </c>
    </row>
    <row r="213" spans="1:3" x14ac:dyDescent="0.25">
      <c r="A213" s="6">
        <v>521</v>
      </c>
      <c r="B213" s="5">
        <v>1046.5999999999999</v>
      </c>
      <c r="C213" s="5">
        <v>5870.5</v>
      </c>
    </row>
    <row r="214" spans="1:3" x14ac:dyDescent="0.25">
      <c r="A214" s="6">
        <v>554</v>
      </c>
      <c r="B214" s="5">
        <v>936.5</v>
      </c>
      <c r="C214" s="5">
        <v>6124.25</v>
      </c>
    </row>
    <row r="215" spans="1:3" x14ac:dyDescent="0.25">
      <c r="A215" s="6">
        <v>564</v>
      </c>
      <c r="B215" s="5">
        <v>894.88888888888891</v>
      </c>
      <c r="C215" s="5">
        <v>4994.25</v>
      </c>
    </row>
    <row r="216" spans="1:3" x14ac:dyDescent="0.25">
      <c r="A216" s="6">
        <v>566</v>
      </c>
      <c r="B216" s="5">
        <v>962.88888888888891</v>
      </c>
      <c r="C216" s="5">
        <v>5441.5</v>
      </c>
    </row>
    <row r="217" spans="1:3" x14ac:dyDescent="0.25">
      <c r="A217" s="6">
        <v>584</v>
      </c>
      <c r="B217" s="5">
        <v>798.7</v>
      </c>
      <c r="C217" s="5">
        <v>7048.25</v>
      </c>
    </row>
    <row r="218" spans="1:3" x14ac:dyDescent="0.25">
      <c r="A218" s="6">
        <v>597</v>
      </c>
      <c r="B218" s="5">
        <v>431.125</v>
      </c>
      <c r="C218" s="5">
        <v>2268</v>
      </c>
    </row>
    <row r="219" spans="1:3" x14ac:dyDescent="0.25">
      <c r="A219" s="6">
        <v>609</v>
      </c>
      <c r="B219" s="5">
        <v>747.4545454545455</v>
      </c>
      <c r="C219" s="5">
        <v>4509</v>
      </c>
    </row>
    <row r="220" spans="1:3" x14ac:dyDescent="0.25">
      <c r="A220" s="6">
        <v>614</v>
      </c>
      <c r="B220" s="5">
        <v>425.18181818181819</v>
      </c>
      <c r="C220" s="5">
        <v>3037.25</v>
      </c>
    </row>
    <row r="221" spans="1:3" x14ac:dyDescent="0.25">
      <c r="A221" s="6">
        <v>615</v>
      </c>
      <c r="B221" s="5">
        <v>760.11111111111109</v>
      </c>
      <c r="C221" s="5">
        <v>4201.25</v>
      </c>
    </row>
    <row r="222" spans="1:3" x14ac:dyDescent="0.25">
      <c r="A222" s="6">
        <v>616</v>
      </c>
      <c r="B222" s="5">
        <v>828.09090909090912</v>
      </c>
      <c r="C222" s="5">
        <v>5027.75</v>
      </c>
    </row>
    <row r="223" spans="1:3" x14ac:dyDescent="0.25">
      <c r="A223" s="6">
        <v>621</v>
      </c>
      <c r="B223" s="5">
        <v>513.375</v>
      </c>
      <c r="C223" s="5">
        <v>2856</v>
      </c>
    </row>
    <row r="224" spans="1:3" x14ac:dyDescent="0.25">
      <c r="A224" s="6">
        <v>628</v>
      </c>
      <c r="B224" s="5">
        <v>510.88888888888891</v>
      </c>
      <c r="C224" s="5">
        <v>3101.75</v>
      </c>
    </row>
    <row r="225" spans="1:3" x14ac:dyDescent="0.25">
      <c r="A225" s="6">
        <v>643</v>
      </c>
      <c r="B225" s="5">
        <v>556.88888888888891</v>
      </c>
      <c r="C225" s="5">
        <v>3448.25</v>
      </c>
    </row>
    <row r="226" spans="1:3" x14ac:dyDescent="0.25">
      <c r="A226" s="6">
        <v>648</v>
      </c>
      <c r="B226" s="5">
        <v>381.5</v>
      </c>
      <c r="C226" s="5">
        <v>1924.5</v>
      </c>
    </row>
    <row r="227" spans="1:3" x14ac:dyDescent="0.25">
      <c r="A227" s="6">
        <v>659</v>
      </c>
      <c r="B227" s="5">
        <v>537.25</v>
      </c>
      <c r="C227" s="5">
        <v>2784.5</v>
      </c>
    </row>
    <row r="228" spans="1:3" x14ac:dyDescent="0.25">
      <c r="A228" s="6">
        <v>667</v>
      </c>
      <c r="B228" s="5">
        <v>1180.5454545454545</v>
      </c>
      <c r="C228" s="5">
        <v>7383.5</v>
      </c>
    </row>
    <row r="229" spans="1:3" x14ac:dyDescent="0.25">
      <c r="A229" s="6">
        <v>712</v>
      </c>
      <c r="B229" s="5">
        <v>1574.7</v>
      </c>
      <c r="C229" s="5">
        <v>7994.25</v>
      </c>
    </row>
    <row r="230" spans="1:3" x14ac:dyDescent="0.25">
      <c r="A230" s="6">
        <v>713</v>
      </c>
      <c r="B230" s="5">
        <v>645.09090909090912</v>
      </c>
      <c r="C230" s="5">
        <v>5689</v>
      </c>
    </row>
    <row r="231" spans="1:3" x14ac:dyDescent="0.25">
      <c r="A231" s="6">
        <v>716</v>
      </c>
      <c r="B231" s="5">
        <v>437.6</v>
      </c>
      <c r="C231" s="5">
        <v>2787</v>
      </c>
    </row>
    <row r="232" spans="1:3" x14ac:dyDescent="0.25">
      <c r="A232" s="6">
        <v>717</v>
      </c>
      <c r="B232" s="5">
        <v>1438.8181818181818</v>
      </c>
      <c r="C232" s="5">
        <v>9074.5</v>
      </c>
    </row>
    <row r="233" spans="1:3" x14ac:dyDescent="0.25">
      <c r="A233" s="6">
        <v>732</v>
      </c>
      <c r="B233" s="5">
        <v>509.5</v>
      </c>
      <c r="C233" s="5">
        <v>2858.75</v>
      </c>
    </row>
    <row r="234" spans="1:3" x14ac:dyDescent="0.25">
      <c r="A234" s="6">
        <v>750</v>
      </c>
      <c r="B234" s="5">
        <v>1409.375</v>
      </c>
      <c r="C234" s="5">
        <v>5935.75</v>
      </c>
    </row>
    <row r="235" spans="1:3" x14ac:dyDescent="0.25">
      <c r="A235" s="6">
        <v>751</v>
      </c>
      <c r="B235" s="5">
        <v>538.1</v>
      </c>
      <c r="C235" s="5">
        <v>3553.25</v>
      </c>
    </row>
    <row r="236" spans="1:3" x14ac:dyDescent="0.25">
      <c r="A236" s="6">
        <v>752</v>
      </c>
      <c r="B236" s="5">
        <v>1219.5</v>
      </c>
      <c r="C236" s="5">
        <v>5966</v>
      </c>
    </row>
    <row r="237" spans="1:3" x14ac:dyDescent="0.25">
      <c r="A237" s="6">
        <v>763</v>
      </c>
      <c r="B237" s="5">
        <v>762.44444444444446</v>
      </c>
      <c r="C237" s="5">
        <v>5548.75</v>
      </c>
    </row>
    <row r="238" spans="1:3" x14ac:dyDescent="0.25">
      <c r="A238" s="6">
        <v>764</v>
      </c>
      <c r="B238" s="5">
        <v>1281.5999999999999</v>
      </c>
      <c r="C238" s="5">
        <v>7163.75</v>
      </c>
    </row>
    <row r="239" spans="1:3" x14ac:dyDescent="0.25">
      <c r="A239" s="6">
        <v>778</v>
      </c>
      <c r="B239" s="5">
        <v>1229.7272727272727</v>
      </c>
      <c r="C239" s="5">
        <v>8656.75</v>
      </c>
    </row>
    <row r="240" spans="1:3" x14ac:dyDescent="0.25">
      <c r="A240" s="6">
        <v>787</v>
      </c>
      <c r="B240" s="5">
        <v>1009.0833333333334</v>
      </c>
      <c r="C240" s="5">
        <v>7840.75</v>
      </c>
    </row>
    <row r="241" spans="1:3" x14ac:dyDescent="0.25">
      <c r="A241" s="6">
        <v>791</v>
      </c>
      <c r="B241" s="5">
        <v>797.4545454545455</v>
      </c>
      <c r="C241" s="5">
        <v>4593</v>
      </c>
    </row>
    <row r="242" spans="1:3" x14ac:dyDescent="0.25">
      <c r="A242" s="6">
        <v>796</v>
      </c>
      <c r="B242" s="5">
        <v>974.1</v>
      </c>
      <c r="C242" s="5">
        <v>6037</v>
      </c>
    </row>
    <row r="243" spans="1:3" x14ac:dyDescent="0.25">
      <c r="A243" s="6">
        <v>797</v>
      </c>
      <c r="B243" s="5">
        <v>1010</v>
      </c>
      <c r="C243" s="5">
        <v>6263</v>
      </c>
    </row>
    <row r="244" spans="1:3" x14ac:dyDescent="0.25">
      <c r="A244" s="6">
        <v>827</v>
      </c>
      <c r="B244" s="5">
        <v>1504.8888888888889</v>
      </c>
      <c r="C244" s="5">
        <v>7938.25</v>
      </c>
    </row>
    <row r="245" spans="1:3" x14ac:dyDescent="0.25">
      <c r="A245" s="6">
        <v>832</v>
      </c>
      <c r="B245" s="5">
        <v>1729.6666666666667</v>
      </c>
      <c r="C245" s="5">
        <v>8005.75</v>
      </c>
    </row>
    <row r="246" spans="1:3" x14ac:dyDescent="0.25">
      <c r="A246" s="6">
        <v>842</v>
      </c>
      <c r="B246" s="5">
        <v>856.625</v>
      </c>
      <c r="C246" s="5">
        <v>4326.5</v>
      </c>
    </row>
    <row r="247" spans="1:3" x14ac:dyDescent="0.25">
      <c r="A247" s="6">
        <v>843</v>
      </c>
      <c r="B247" s="5">
        <v>899.8</v>
      </c>
      <c r="C247" s="5">
        <v>6198.75</v>
      </c>
    </row>
    <row r="248" spans="1:3" x14ac:dyDescent="0.25">
      <c r="A248" s="6">
        <v>847</v>
      </c>
      <c r="B248" s="5">
        <v>1461.3333333333333</v>
      </c>
      <c r="C248" s="5">
        <v>6313</v>
      </c>
    </row>
    <row r="249" spans="1:3" x14ac:dyDescent="0.25">
      <c r="A249" s="6">
        <v>849</v>
      </c>
      <c r="B249" s="5">
        <v>1121.625</v>
      </c>
      <c r="C249" s="5">
        <v>5334.5</v>
      </c>
    </row>
    <row r="250" spans="1:3" x14ac:dyDescent="0.25">
      <c r="A250" s="6">
        <v>857</v>
      </c>
      <c r="B250" s="5">
        <v>949</v>
      </c>
      <c r="C250" s="5">
        <v>5642.25</v>
      </c>
    </row>
    <row r="251" spans="1:3" x14ac:dyDescent="0.25">
      <c r="A251" s="6">
        <v>868</v>
      </c>
      <c r="B251" s="5">
        <v>331.77777777777777</v>
      </c>
      <c r="C251" s="5">
        <v>1463.75</v>
      </c>
    </row>
    <row r="252" spans="1:3" x14ac:dyDescent="0.25">
      <c r="A252" s="6">
        <v>876</v>
      </c>
      <c r="B252" s="5">
        <v>875.4</v>
      </c>
      <c r="C252" s="5">
        <v>4970</v>
      </c>
    </row>
    <row r="253" spans="1:3" x14ac:dyDescent="0.25">
      <c r="A253" s="6">
        <v>879</v>
      </c>
      <c r="B253" s="5">
        <v>819.83333333333337</v>
      </c>
      <c r="C253" s="5">
        <v>6820.75</v>
      </c>
    </row>
    <row r="254" spans="1:3" x14ac:dyDescent="0.25">
      <c r="A254" s="6">
        <v>891</v>
      </c>
      <c r="B254" s="5">
        <v>461.7</v>
      </c>
      <c r="C254" s="5">
        <v>3705.75</v>
      </c>
    </row>
    <row r="255" spans="1:3" x14ac:dyDescent="0.25">
      <c r="A255" s="6">
        <v>900</v>
      </c>
      <c r="B255" s="5">
        <v>1454.7777777777778</v>
      </c>
      <c r="C255" s="5">
        <v>6699</v>
      </c>
    </row>
    <row r="256" spans="1:3" x14ac:dyDescent="0.25">
      <c r="A256" s="6">
        <v>908</v>
      </c>
      <c r="B256" s="5">
        <v>952.88888888888891</v>
      </c>
      <c r="C256" s="5">
        <v>5102.75</v>
      </c>
    </row>
    <row r="257" spans="1:3" x14ac:dyDescent="0.25">
      <c r="A257" s="6">
        <v>921</v>
      </c>
      <c r="B257" s="5">
        <v>261.375</v>
      </c>
      <c r="C257" s="5">
        <v>1024.25</v>
      </c>
    </row>
    <row r="258" spans="1:3" x14ac:dyDescent="0.25">
      <c r="A258" s="6">
        <v>933</v>
      </c>
      <c r="B258" s="5">
        <v>1316.5555555555557</v>
      </c>
      <c r="C258" s="5">
        <v>6293</v>
      </c>
    </row>
    <row r="259" spans="1:3" x14ac:dyDescent="0.25">
      <c r="A259" s="6">
        <v>939</v>
      </c>
      <c r="B259" s="5">
        <v>819.9</v>
      </c>
      <c r="C259" s="5">
        <v>4895</v>
      </c>
    </row>
    <row r="260" spans="1:3" x14ac:dyDescent="0.25">
      <c r="A260" s="6">
        <v>960</v>
      </c>
      <c r="B260" s="5">
        <v>758.3</v>
      </c>
      <c r="C260" s="5">
        <v>4070.75</v>
      </c>
    </row>
    <row r="261" spans="1:3" x14ac:dyDescent="0.25">
      <c r="A261" s="6">
        <v>970</v>
      </c>
      <c r="B261" s="5">
        <v>1456</v>
      </c>
      <c r="C261" s="5">
        <v>6912.5</v>
      </c>
    </row>
    <row r="262" spans="1:3" x14ac:dyDescent="0.25">
      <c r="A262" s="6">
        <v>976</v>
      </c>
      <c r="B262" s="5">
        <v>466.71428571428572</v>
      </c>
      <c r="C262" s="5">
        <v>2075</v>
      </c>
    </row>
    <row r="263" spans="1:3" x14ac:dyDescent="0.25">
      <c r="A263" s="6">
        <v>982</v>
      </c>
      <c r="B263" s="5">
        <v>752.88888888888891</v>
      </c>
      <c r="C263" s="5">
        <v>5820.75</v>
      </c>
    </row>
    <row r="264" spans="1:3" x14ac:dyDescent="0.25">
      <c r="A264" s="6">
        <v>2002</v>
      </c>
      <c r="B264" s="5">
        <v>6.5</v>
      </c>
      <c r="C264" s="5">
        <v>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Muñante Durand</dc:creator>
  <cp:lastModifiedBy>HAROLD ENRIQUE MUÑANTE DURAND</cp:lastModifiedBy>
  <dcterms:created xsi:type="dcterms:W3CDTF">2025-12-07T00:31:10Z</dcterms:created>
  <dcterms:modified xsi:type="dcterms:W3CDTF">2026-02-20T12:52:25Z</dcterms:modified>
</cp:coreProperties>
</file>